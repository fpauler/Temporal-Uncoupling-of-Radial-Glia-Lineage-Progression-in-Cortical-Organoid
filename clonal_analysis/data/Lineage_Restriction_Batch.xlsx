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B:\group\hippegrp\Lab Member Folders\Miranda Osvaldo\07 Organoid Exps\Lineage Restriction\"/>
    </mc:Choice>
  </mc:AlternateContent>
  <bookViews>
    <workbookView xWindow="0" yWindow="0" windowWidth="28800" windowHeight="13980" firstSheet="1" activeTab="7"/>
  </bookViews>
  <sheets>
    <sheet name="Proliferative D8-20" sheetId="1" r:id="rId1"/>
    <sheet name="Asym D8-20" sheetId="2" r:id="rId2"/>
    <sheet name="Small Neuro D8-20" sheetId="3" r:id="rId3"/>
    <sheet name="D8-20 Summary" sheetId="4" r:id="rId4"/>
    <sheet name="Proliferative D13-20" sheetId="5" r:id="rId5"/>
    <sheet name="Asym D13-20" sheetId="6" r:id="rId6"/>
    <sheet name="Small Neuro D13-20" sheetId="7" r:id="rId7"/>
    <sheet name="D13-20 Summary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7" l="1"/>
  <c r="E36" i="7"/>
  <c r="D54" i="7"/>
  <c r="C52" i="7"/>
  <c r="I47" i="7"/>
  <c r="H47" i="7"/>
  <c r="G47" i="7"/>
  <c r="F47" i="7"/>
  <c r="E47" i="7"/>
  <c r="D47" i="7"/>
  <c r="C47" i="7"/>
  <c r="I46" i="7"/>
  <c r="H46" i="7"/>
  <c r="G46" i="7"/>
  <c r="F46" i="7"/>
  <c r="E46" i="7"/>
  <c r="D46" i="7"/>
  <c r="C46" i="7"/>
  <c r="I45" i="7"/>
  <c r="H45" i="7"/>
  <c r="G45" i="7"/>
  <c r="F45" i="7"/>
  <c r="E45" i="7"/>
  <c r="D45" i="7"/>
  <c r="C45" i="7"/>
  <c r="E35" i="7"/>
  <c r="C34" i="7"/>
  <c r="J29" i="7"/>
  <c r="I29" i="7"/>
  <c r="H29" i="7"/>
  <c r="G29" i="7"/>
  <c r="F29" i="7"/>
  <c r="E29" i="7"/>
  <c r="D29" i="7"/>
  <c r="C29" i="7"/>
  <c r="J28" i="7"/>
  <c r="I28" i="7"/>
  <c r="H28" i="7"/>
  <c r="G28" i="7"/>
  <c r="F28" i="7"/>
  <c r="E28" i="7"/>
  <c r="D28" i="7"/>
  <c r="C28" i="7"/>
  <c r="J27" i="7"/>
  <c r="I27" i="7"/>
  <c r="H27" i="7"/>
  <c r="G27" i="7"/>
  <c r="F27" i="7"/>
  <c r="E27" i="7"/>
  <c r="D27" i="7"/>
  <c r="C27" i="7"/>
  <c r="E18" i="7"/>
  <c r="E17" i="7"/>
  <c r="C16" i="7"/>
  <c r="J11" i="7"/>
  <c r="I11" i="7"/>
  <c r="H11" i="7"/>
  <c r="G11" i="7"/>
  <c r="F11" i="7"/>
  <c r="E11" i="7"/>
  <c r="D11" i="7"/>
  <c r="C11" i="7"/>
  <c r="J10" i="7"/>
  <c r="I10" i="7"/>
  <c r="H10" i="7"/>
  <c r="G10" i="7"/>
  <c r="F10" i="7"/>
  <c r="E10" i="7"/>
  <c r="D10" i="7"/>
  <c r="C10" i="7"/>
  <c r="J9" i="7"/>
  <c r="I9" i="7"/>
  <c r="H9" i="7"/>
  <c r="G9" i="7"/>
  <c r="F9" i="7"/>
  <c r="E9" i="7"/>
  <c r="D9" i="7"/>
  <c r="C9" i="7"/>
  <c r="D53" i="7"/>
  <c r="E53" i="7" s="1"/>
  <c r="D35" i="7"/>
  <c r="D17" i="7"/>
  <c r="E54" i="6"/>
  <c r="C52" i="6"/>
  <c r="D54" i="6" s="1"/>
  <c r="L47" i="6"/>
  <c r="K47" i="6"/>
  <c r="J47" i="6"/>
  <c r="I47" i="6"/>
  <c r="H47" i="6"/>
  <c r="G47" i="6"/>
  <c r="F47" i="6"/>
  <c r="E47" i="6"/>
  <c r="D47" i="6"/>
  <c r="C47" i="6"/>
  <c r="L46" i="6"/>
  <c r="K46" i="6"/>
  <c r="J46" i="6"/>
  <c r="I46" i="6"/>
  <c r="H46" i="6"/>
  <c r="G46" i="6"/>
  <c r="F46" i="6"/>
  <c r="E46" i="6"/>
  <c r="D46" i="6"/>
  <c r="C46" i="6"/>
  <c r="L45" i="6"/>
  <c r="K45" i="6"/>
  <c r="J45" i="6"/>
  <c r="I45" i="6"/>
  <c r="H45" i="6"/>
  <c r="G45" i="6"/>
  <c r="F45" i="6"/>
  <c r="E45" i="6"/>
  <c r="D45" i="6"/>
  <c r="C45" i="6"/>
  <c r="C34" i="6"/>
  <c r="C34" i="5"/>
  <c r="C16" i="6"/>
  <c r="D17" i="6" s="1"/>
  <c r="E17" i="6" s="1"/>
  <c r="D35" i="6"/>
  <c r="E35" i="6" s="1"/>
  <c r="L29" i="6"/>
  <c r="K29" i="6"/>
  <c r="J29" i="6"/>
  <c r="I29" i="6"/>
  <c r="H29" i="6"/>
  <c r="G29" i="6"/>
  <c r="F29" i="6"/>
  <c r="E29" i="6"/>
  <c r="D29" i="6"/>
  <c r="C29" i="6"/>
  <c r="L28" i="6"/>
  <c r="K28" i="6"/>
  <c r="J28" i="6"/>
  <c r="I28" i="6"/>
  <c r="H28" i="6"/>
  <c r="G28" i="6"/>
  <c r="F28" i="6"/>
  <c r="E28" i="6"/>
  <c r="D28" i="6"/>
  <c r="C28" i="6"/>
  <c r="L27" i="6"/>
  <c r="K27" i="6"/>
  <c r="J27" i="6"/>
  <c r="I27" i="6"/>
  <c r="H27" i="6"/>
  <c r="G27" i="6"/>
  <c r="F27" i="6"/>
  <c r="E27" i="6"/>
  <c r="D27" i="6"/>
  <c r="C27" i="6"/>
  <c r="M11" i="6"/>
  <c r="L11" i="6"/>
  <c r="K11" i="6"/>
  <c r="J11" i="6"/>
  <c r="I11" i="6"/>
  <c r="H11" i="6"/>
  <c r="G11" i="6"/>
  <c r="F11" i="6"/>
  <c r="E11" i="6"/>
  <c r="D11" i="6"/>
  <c r="C11" i="6"/>
  <c r="M10" i="6"/>
  <c r="L10" i="6"/>
  <c r="K10" i="6"/>
  <c r="J10" i="6"/>
  <c r="I10" i="6"/>
  <c r="H10" i="6"/>
  <c r="G10" i="6"/>
  <c r="F10" i="6"/>
  <c r="E10" i="6"/>
  <c r="D10" i="6"/>
  <c r="C10" i="6"/>
  <c r="M9" i="6"/>
  <c r="L9" i="6"/>
  <c r="K9" i="6"/>
  <c r="J9" i="6"/>
  <c r="I9" i="6"/>
  <c r="H9" i="6"/>
  <c r="G9" i="6"/>
  <c r="F9" i="6"/>
  <c r="E9" i="6"/>
  <c r="D9" i="6"/>
  <c r="C9" i="6"/>
  <c r="C52" i="5"/>
  <c r="D53" i="5" s="1"/>
  <c r="E53" i="5" s="1"/>
  <c r="J47" i="5"/>
  <c r="I47" i="5"/>
  <c r="H47" i="5"/>
  <c r="G47" i="5"/>
  <c r="F47" i="5"/>
  <c r="E47" i="5"/>
  <c r="D47" i="5"/>
  <c r="C47" i="5"/>
  <c r="J46" i="5"/>
  <c r="I46" i="5"/>
  <c r="H46" i="5"/>
  <c r="G46" i="5"/>
  <c r="F46" i="5"/>
  <c r="E46" i="5"/>
  <c r="D46" i="5"/>
  <c r="C46" i="5"/>
  <c r="J45" i="5"/>
  <c r="I45" i="5"/>
  <c r="H45" i="5"/>
  <c r="G45" i="5"/>
  <c r="F45" i="5"/>
  <c r="E45" i="5"/>
  <c r="D45" i="5"/>
  <c r="C45" i="5"/>
  <c r="C52" i="3"/>
  <c r="C34" i="3"/>
  <c r="C16" i="3"/>
  <c r="D35" i="5"/>
  <c r="E35" i="5" s="1"/>
  <c r="K29" i="5"/>
  <c r="J29" i="5"/>
  <c r="I29" i="5"/>
  <c r="H29" i="5"/>
  <c r="G29" i="5"/>
  <c r="F29" i="5"/>
  <c r="E29" i="5"/>
  <c r="D29" i="5"/>
  <c r="C29" i="5"/>
  <c r="K28" i="5"/>
  <c r="J28" i="5"/>
  <c r="I28" i="5"/>
  <c r="H28" i="5"/>
  <c r="G28" i="5"/>
  <c r="F28" i="5"/>
  <c r="E28" i="5"/>
  <c r="D28" i="5"/>
  <c r="C28" i="5"/>
  <c r="K27" i="5"/>
  <c r="J27" i="5"/>
  <c r="I27" i="5"/>
  <c r="H27" i="5"/>
  <c r="G27" i="5"/>
  <c r="F27" i="5"/>
  <c r="E27" i="5"/>
  <c r="D27" i="5"/>
  <c r="C27" i="5"/>
  <c r="E18" i="5"/>
  <c r="E17" i="5"/>
  <c r="D17" i="5"/>
  <c r="D18" i="5"/>
  <c r="C16" i="5"/>
  <c r="I11" i="5"/>
  <c r="H11" i="5"/>
  <c r="G11" i="5"/>
  <c r="F11" i="5"/>
  <c r="E11" i="5"/>
  <c r="D11" i="5"/>
  <c r="C11" i="5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D36" i="7" l="1"/>
  <c r="D18" i="7"/>
  <c r="D36" i="6"/>
  <c r="E36" i="6" s="1"/>
  <c r="D53" i="6"/>
  <c r="E53" i="6" s="1"/>
  <c r="D18" i="6"/>
  <c r="E18" i="6" s="1"/>
  <c r="D54" i="5"/>
  <c r="E54" i="5" s="1"/>
  <c r="D36" i="5"/>
  <c r="E36" i="5" s="1"/>
  <c r="E65" i="3" l="1"/>
  <c r="D65" i="3"/>
  <c r="C65" i="3"/>
  <c r="E64" i="3"/>
  <c r="D64" i="3"/>
  <c r="C64" i="3"/>
  <c r="E63" i="3"/>
  <c r="D63" i="3"/>
  <c r="C63" i="3"/>
  <c r="I29" i="3"/>
  <c r="H29" i="3"/>
  <c r="G29" i="3"/>
  <c r="I28" i="3"/>
  <c r="H28" i="3"/>
  <c r="G28" i="3"/>
  <c r="I27" i="3"/>
  <c r="H27" i="3"/>
  <c r="G27" i="3"/>
  <c r="E54" i="3"/>
  <c r="E53" i="3"/>
  <c r="E18" i="3"/>
  <c r="D54" i="3"/>
  <c r="D53" i="3"/>
  <c r="H47" i="3"/>
  <c r="G47" i="3"/>
  <c r="F47" i="3"/>
  <c r="E47" i="3"/>
  <c r="D47" i="3"/>
  <c r="C47" i="3"/>
  <c r="H46" i="3"/>
  <c r="G46" i="3"/>
  <c r="F46" i="3"/>
  <c r="E46" i="3"/>
  <c r="D46" i="3"/>
  <c r="C46" i="3"/>
  <c r="H45" i="3"/>
  <c r="G45" i="3"/>
  <c r="F45" i="3"/>
  <c r="E45" i="3"/>
  <c r="D45" i="3"/>
  <c r="C45" i="3"/>
  <c r="F29" i="3"/>
  <c r="F28" i="3"/>
  <c r="F27" i="3"/>
  <c r="E29" i="3"/>
  <c r="E28" i="3"/>
  <c r="E27" i="3"/>
  <c r="D29" i="3"/>
  <c r="C29" i="3"/>
  <c r="D28" i="3"/>
  <c r="C28" i="3"/>
  <c r="D27" i="3"/>
  <c r="C27" i="3"/>
  <c r="D35" i="3"/>
  <c r="E35" i="3" s="1"/>
  <c r="C62" i="1"/>
  <c r="C52" i="2"/>
  <c r="E54" i="2"/>
  <c r="C34" i="2"/>
  <c r="K29" i="2"/>
  <c r="J29" i="2"/>
  <c r="K28" i="2"/>
  <c r="J28" i="2"/>
  <c r="K27" i="2"/>
  <c r="J27" i="2"/>
  <c r="D18" i="3"/>
  <c r="E17" i="3"/>
  <c r="D17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C70" i="2"/>
  <c r="D72" i="2" s="1"/>
  <c r="E72" i="2" s="1"/>
  <c r="H65" i="2"/>
  <c r="G65" i="2"/>
  <c r="F65" i="2"/>
  <c r="E65" i="2"/>
  <c r="D65" i="2"/>
  <c r="C65" i="2"/>
  <c r="H64" i="2"/>
  <c r="G64" i="2"/>
  <c r="F64" i="2"/>
  <c r="E64" i="2"/>
  <c r="D64" i="2"/>
  <c r="C64" i="2"/>
  <c r="H63" i="2"/>
  <c r="G63" i="2"/>
  <c r="F63" i="2"/>
  <c r="E63" i="2"/>
  <c r="D63" i="2"/>
  <c r="C63" i="2"/>
  <c r="D54" i="2"/>
  <c r="I47" i="2"/>
  <c r="H47" i="2"/>
  <c r="G47" i="2"/>
  <c r="F47" i="2"/>
  <c r="E47" i="2"/>
  <c r="D47" i="2"/>
  <c r="C47" i="2"/>
  <c r="I46" i="2"/>
  <c r="H46" i="2"/>
  <c r="G46" i="2"/>
  <c r="F46" i="2"/>
  <c r="E46" i="2"/>
  <c r="D46" i="2"/>
  <c r="C46" i="2"/>
  <c r="I45" i="2"/>
  <c r="H45" i="2"/>
  <c r="G45" i="2"/>
  <c r="F45" i="2"/>
  <c r="E45" i="2"/>
  <c r="D45" i="2"/>
  <c r="C45" i="2"/>
  <c r="D36" i="2"/>
  <c r="E36" i="2" s="1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C16" i="2"/>
  <c r="D18" i="2"/>
  <c r="E18" i="2" s="1"/>
  <c r="D17" i="2"/>
  <c r="E17" i="2" s="1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D71" i="1"/>
  <c r="E71" i="1" s="1"/>
  <c r="C69" i="1"/>
  <c r="D70" i="1" s="1"/>
  <c r="E70" i="1" s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33" i="1"/>
  <c r="D34" i="1" s="1"/>
  <c r="N28" i="1"/>
  <c r="M28" i="1"/>
  <c r="N27" i="1"/>
  <c r="M27" i="1"/>
  <c r="N26" i="1"/>
  <c r="M26" i="1"/>
  <c r="C51" i="1"/>
  <c r="D53" i="1"/>
  <c r="E53" i="1" s="1"/>
  <c r="D52" i="1"/>
  <c r="E52" i="1" s="1"/>
  <c r="C15" i="1"/>
  <c r="D17" i="1" s="1"/>
  <c r="E17" i="1" s="1"/>
  <c r="I28" i="1"/>
  <c r="I46" i="1"/>
  <c r="H46" i="1"/>
  <c r="G46" i="1"/>
  <c r="F46" i="1"/>
  <c r="E46" i="1"/>
  <c r="D46" i="1"/>
  <c r="C46" i="1"/>
  <c r="I27" i="1"/>
  <c r="I45" i="1"/>
  <c r="H45" i="1"/>
  <c r="G45" i="1"/>
  <c r="F45" i="1"/>
  <c r="E45" i="1"/>
  <c r="D45" i="1"/>
  <c r="C45" i="1"/>
  <c r="I26" i="1"/>
  <c r="I44" i="1"/>
  <c r="H44" i="1"/>
  <c r="G44" i="1"/>
  <c r="F44" i="1"/>
  <c r="E44" i="1"/>
  <c r="D44" i="1"/>
  <c r="C44" i="1"/>
  <c r="L28" i="1"/>
  <c r="K28" i="1"/>
  <c r="J28" i="1"/>
  <c r="H28" i="1"/>
  <c r="G28" i="1"/>
  <c r="F28" i="1"/>
  <c r="E28" i="1"/>
  <c r="D28" i="1"/>
  <c r="C28" i="1"/>
  <c r="L27" i="1"/>
  <c r="K27" i="1"/>
  <c r="J27" i="1"/>
  <c r="H27" i="1"/>
  <c r="G27" i="1"/>
  <c r="F27" i="1"/>
  <c r="E27" i="1"/>
  <c r="D27" i="1"/>
  <c r="C27" i="1"/>
  <c r="L26" i="1"/>
  <c r="K26" i="1"/>
  <c r="J26" i="1"/>
  <c r="H26" i="1"/>
  <c r="G26" i="1"/>
  <c r="F26" i="1"/>
  <c r="E26" i="1"/>
  <c r="D26" i="1"/>
  <c r="C26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D36" i="3" l="1"/>
  <c r="E36" i="3" s="1"/>
  <c r="D71" i="2"/>
  <c r="E71" i="2" s="1"/>
  <c r="D53" i="2"/>
  <c r="E53" i="2" s="1"/>
  <c r="D35" i="2"/>
  <c r="E35" i="2" s="1"/>
  <c r="E34" i="1"/>
  <c r="D16" i="1"/>
  <c r="E16" i="1" s="1"/>
  <c r="D35" i="1"/>
  <c r="E35" i="1" s="1"/>
  <c r="C70" i="3" l="1"/>
  <c r="D71" i="3" l="1"/>
  <c r="E71" i="3" s="1"/>
  <c r="D72" i="3"/>
  <c r="E72" i="3" s="1"/>
</calcChain>
</file>

<file path=xl/sharedStrings.xml><?xml version="1.0" encoding="utf-8"?>
<sst xmlns="http://schemas.openxmlformats.org/spreadsheetml/2006/main" count="501" uniqueCount="42">
  <si>
    <t>Line 5C batch 1</t>
  </si>
  <si>
    <t>Ctip2</t>
  </si>
  <si>
    <t>Ctip2/Satb2</t>
  </si>
  <si>
    <t>Satb2</t>
  </si>
  <si>
    <t>Total cells</t>
  </si>
  <si>
    <t>Total Clones</t>
  </si>
  <si>
    <t>SATB2 Only</t>
  </si>
  <si>
    <t>CTIP2 Only</t>
  </si>
  <si>
    <t>Number</t>
  </si>
  <si>
    <t>%</t>
  </si>
  <si>
    <t>SEM</t>
  </si>
  <si>
    <t>Line 2A batch 1</t>
  </si>
  <si>
    <t>Proliferative</t>
  </si>
  <si>
    <t>Batch 1 Proliferative</t>
  </si>
  <si>
    <t>Line 5C batch 2</t>
  </si>
  <si>
    <t>Line 2A batch 2</t>
  </si>
  <si>
    <t>Batch 2 Proliferative</t>
  </si>
  <si>
    <t>Line 5C batch 3</t>
  </si>
  <si>
    <t>Batch 3 Proliferative</t>
  </si>
  <si>
    <t>Line 2A batch 3</t>
  </si>
  <si>
    <t>Asym</t>
  </si>
  <si>
    <t>Batch 1 Asym</t>
  </si>
  <si>
    <t>Batch 3 Asym</t>
  </si>
  <si>
    <t>Batch 2 Asym</t>
  </si>
  <si>
    <t>Line 2A batch</t>
  </si>
  <si>
    <t xml:space="preserve">Line 5C batch </t>
  </si>
  <si>
    <t xml:space="preserve">Line 2A batch </t>
  </si>
  <si>
    <t>Batch 4 Asym</t>
  </si>
  <si>
    <t>Small Neuro</t>
  </si>
  <si>
    <t>Batch 1 Small N</t>
  </si>
  <si>
    <t>Batch 2 Small N</t>
  </si>
  <si>
    <t>Line 2A</t>
  </si>
  <si>
    <t>Line 5C</t>
  </si>
  <si>
    <t>Batch 4 Proliferative</t>
  </si>
  <si>
    <t>Batch 3 Small N</t>
  </si>
  <si>
    <t>Batch 4 Small N</t>
  </si>
  <si>
    <t>Small N.</t>
  </si>
  <si>
    <t>Batch 2 Small N.</t>
  </si>
  <si>
    <t>Batch 1 Small N.</t>
  </si>
  <si>
    <t>Batch 3 Small N.</t>
  </si>
  <si>
    <t>Small Neurogenic</t>
  </si>
  <si>
    <t>Asymmetric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</si>
</sst>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" fontId="4" fillId="0" borderId="4" xfId="0" applyNumberFormat="1" applyFont="1" applyBorder="1"/>
    <xf numFmtId="1" fontId="5" fillId="2" borderId="0" xfId="0" applyNumberFormat="1" applyFont="1" applyFill="1" applyBorder="1"/>
    <xf numFmtId="1" fontId="0" fillId="0" borderId="0" xfId="0" applyNumberFormat="1" applyBorder="1"/>
    <xf numFmtId="1" fontId="0" fillId="0" borderId="5" xfId="0" applyNumberFormat="1" applyBorder="1"/>
    <xf numFmtId="1" fontId="0" fillId="0" borderId="4" xfId="0" applyNumberFormat="1" applyBorder="1"/>
    <xf numFmtId="1" fontId="4" fillId="0" borderId="0" xfId="0" applyNumberFormat="1" applyFont="1" applyBorder="1"/>
    <xf numFmtId="1" fontId="0" fillId="0" borderId="6" xfId="0" applyNumberFormat="1" applyBorder="1"/>
    <xf numFmtId="1" fontId="0" fillId="0" borderId="7" xfId="0" applyNumberFormat="1" applyBorder="1"/>
    <xf numFmtId="1" fontId="4" fillId="0" borderId="8" xfId="0" applyNumberFormat="1" applyFont="1" applyBorder="1"/>
    <xf numFmtId="0" fontId="6" fillId="0" borderId="2" xfId="0" applyFont="1" applyBorder="1"/>
    <xf numFmtId="1" fontId="4" fillId="0" borderId="7" xfId="0" applyNumberFormat="1" applyFont="1" applyBorder="1"/>
    <xf numFmtId="0" fontId="5" fillId="0" borderId="0" xfId="0" applyFont="1"/>
    <xf numFmtId="0" fontId="3" fillId="0" borderId="3" xfId="0" applyFont="1" applyBorder="1"/>
    <xf numFmtId="0" fontId="0" fillId="0" borderId="0" xfId="0" applyFill="1" applyBorder="1"/>
    <xf numFmtId="0" fontId="1" fillId="0" borderId="0" xfId="0" applyFont="1" applyBorder="1"/>
    <xf numFmtId="1" fontId="4" fillId="2" borderId="0" xfId="0" applyNumberFormat="1" applyFont="1" applyFill="1" applyBorder="1"/>
    <xf numFmtId="1" fontId="4" fillId="2" borderId="5" xfId="0" applyNumberFormat="1" applyFont="1" applyFill="1" applyBorder="1"/>
    <xf numFmtId="1" fontId="0" fillId="0" borderId="8" xfId="0" applyNumberFormat="1" applyBorder="1"/>
    <xf numFmtId="0" fontId="0" fillId="0" borderId="5" xfId="0" applyFill="1" applyBorder="1"/>
    <xf numFmtId="1" fontId="4" fillId="0" borderId="5" xfId="0" applyNumberFormat="1" applyFont="1" applyBorder="1"/>
    <xf numFmtId="0" fontId="6" fillId="0" borderId="1" xfId="0" applyFont="1" applyBorder="1"/>
    <xf numFmtId="0" fontId="0" fillId="0" borderId="3" xfId="0" applyBorder="1"/>
    <xf numFmtId="0" fontId="0" fillId="0" borderId="4" xfId="0" applyFill="1" applyBorder="1"/>
    <xf numFmtId="1" fontId="0" fillId="0" borderId="4" xfId="0" applyNumberFormat="1" applyFont="1" applyBorder="1"/>
    <xf numFmtId="1" fontId="4" fillId="0" borderId="6" xfId="0" applyNumberFormat="1" applyFont="1" applyBorder="1"/>
    <xf numFmtId="0" fontId="6" fillId="0" borderId="0" xfId="0" applyFont="1" applyBorder="1"/>
    <xf numFmtId="1" fontId="0" fillId="0" borderId="0" xfId="0" applyNumberFormat="1" applyFont="1" applyBorder="1"/>
    <xf numFmtId="1" fontId="0" fillId="0" borderId="5" xfId="0" applyNumberFormat="1" applyFont="1" applyBorder="1"/>
    <xf numFmtId="0" fontId="0" fillId="0" borderId="8" xfId="0" applyBorder="1"/>
    <xf numFmtId="1" fontId="4" fillId="2" borderId="6" xfId="0" applyNumberFormat="1" applyFont="1" applyFill="1" applyBorder="1"/>
    <xf numFmtId="1" fontId="4" fillId="2" borderId="4" xfId="0" applyNumberFormat="1" applyFont="1" applyFill="1" applyBorder="1"/>
    <xf numFmtId="1" fontId="0" fillId="0" borderId="5" xfId="0" applyNumberFormat="1" applyFont="1" applyFill="1" applyBorder="1"/>
    <xf numFmtId="1" fontId="0" fillId="0" borderId="6" xfId="0" applyNumberFormat="1" applyFont="1" applyFill="1" applyBorder="1"/>
    <xf numFmtId="1" fontId="0" fillId="0" borderId="8" xfId="0" applyNumberFormat="1" applyFont="1" applyFill="1" applyBorder="1"/>
    <xf numFmtId="0" fontId="0" fillId="0" borderId="2" xfId="0" applyBorder="1"/>
    <xf numFmtId="1" fontId="0" fillId="0" borderId="0" xfId="0" applyNumberFormat="1" applyFont="1" applyFill="1" applyBorder="1"/>
    <xf numFmtId="1" fontId="0" fillId="0" borderId="7" xfId="0" applyNumberFormat="1" applyFont="1" applyFill="1" applyBorder="1"/>
    <xf numFmtId="0" fontId="0" fillId="0" borderId="0" xfId="0" applyNumberFormat="1" applyFill="1" applyBorder="1"/>
    <xf numFmtId="0" fontId="0" fillId="0" borderId="0" xfId="0" applyNumberFormat="1" applyBorder="1"/>
    <xf numFmtId="0" fontId="7" fillId="0" borderId="2" xfId="0" applyFont="1" applyBorder="1"/>
    <xf numFmtId="0" fontId="7" fillId="0" borderId="3" xfId="0" applyFont="1" applyBorder="1"/>
    <xf numFmtId="0" fontId="0" fillId="0" borderId="4" xfId="0" applyNumberFormat="1" applyFill="1" applyBorder="1"/>
    <xf numFmtId="0" fontId="7" fillId="0" borderId="0" xfId="0" applyNumberFormat="1" applyFont="1" applyBorder="1"/>
    <xf numFmtId="0" fontId="7" fillId="0" borderId="5" xfId="0" applyNumberFormat="1" applyFont="1" applyBorder="1"/>
    <xf numFmtId="0" fontId="0" fillId="0" borderId="4" xfId="0" applyNumberFormat="1" applyBorder="1"/>
    <xf numFmtId="0" fontId="0" fillId="0" borderId="0" xfId="0" applyNumberFormat="1" applyFont="1" applyBorder="1"/>
    <xf numFmtId="0" fontId="0" fillId="0" borderId="5" xfId="0" applyNumberFormat="1" applyFont="1" applyBorder="1"/>
    <xf numFmtId="1" fontId="0" fillId="0" borderId="4" xfId="0" applyNumberFormat="1" applyFont="1" applyFill="1" applyBorder="1"/>
    <xf numFmtId="0" fontId="5" fillId="3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0" fillId="3" borderId="0" xfId="0" applyFill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1" fontId="4" fillId="3" borderId="4" xfId="0" applyNumberFormat="1" applyFont="1" applyFill="1" applyBorder="1"/>
    <xf numFmtId="1" fontId="0" fillId="3" borderId="0" xfId="0" applyNumberFormat="1" applyFill="1" applyBorder="1"/>
    <xf numFmtId="1" fontId="0" fillId="3" borderId="5" xfId="0" applyNumberFormat="1" applyFill="1" applyBorder="1"/>
    <xf numFmtId="1" fontId="4" fillId="3" borderId="5" xfId="0" applyNumberFormat="1" applyFont="1" applyFill="1" applyBorder="1"/>
    <xf numFmtId="1" fontId="0" fillId="3" borderId="4" xfId="0" applyNumberFormat="1" applyFill="1" applyBorder="1"/>
    <xf numFmtId="1" fontId="4" fillId="3" borderId="0" xfId="0" applyNumberFormat="1" applyFont="1" applyFill="1" applyBorder="1"/>
    <xf numFmtId="1" fontId="0" fillId="3" borderId="6" xfId="0" applyNumberFormat="1" applyFill="1" applyBorder="1"/>
    <xf numFmtId="1" fontId="4" fillId="3" borderId="7" xfId="0" applyNumberFormat="1" applyFont="1" applyFill="1" applyBorder="1"/>
    <xf numFmtId="1" fontId="0" fillId="3" borderId="8" xfId="0" applyNumberFormat="1" applyFill="1" applyBorder="1"/>
    <xf numFmtId="1" fontId="0" fillId="3" borderId="7" xfId="0" applyNumberFormat="1" applyFill="1" applyBorder="1"/>
    <xf numFmtId="0" fontId="5" fillId="4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6" fillId="4" borderId="3" xfId="0" applyFont="1" applyFill="1" applyBorder="1"/>
    <xf numFmtId="0" fontId="2" fillId="4" borderId="3" xfId="0" applyFont="1" applyFill="1" applyBorder="1"/>
    <xf numFmtId="0" fontId="0" fillId="4" borderId="0" xfId="0" applyFill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1" fontId="0" fillId="4" borderId="4" xfId="0" applyNumberFormat="1" applyFill="1" applyBorder="1"/>
    <xf numFmtId="1" fontId="4" fillId="4" borderId="0" xfId="0" applyNumberFormat="1" applyFont="1" applyFill="1" applyBorder="1"/>
    <xf numFmtId="1" fontId="0" fillId="4" borderId="0" xfId="0" applyNumberFormat="1" applyFill="1" applyBorder="1"/>
    <xf numFmtId="1" fontId="4" fillId="4" borderId="5" xfId="0" applyNumberFormat="1" applyFont="1" applyFill="1" applyBorder="1"/>
    <xf numFmtId="1" fontId="4" fillId="4" borderId="4" xfId="0" applyNumberFormat="1" applyFont="1" applyFill="1" applyBorder="1"/>
    <xf numFmtId="1" fontId="0" fillId="4" borderId="5" xfId="0" applyNumberFormat="1" applyFill="1" applyBorder="1"/>
    <xf numFmtId="1" fontId="0" fillId="4" borderId="6" xfId="0" applyNumberFormat="1" applyFill="1" applyBorder="1"/>
    <xf numFmtId="1" fontId="0" fillId="4" borderId="7" xfId="0" applyNumberFormat="1" applyFill="1" applyBorder="1"/>
    <xf numFmtId="1" fontId="0" fillId="4" borderId="8" xfId="0" applyNumberFormat="1" applyFill="1" applyBorder="1"/>
    <xf numFmtId="1" fontId="4" fillId="4" borderId="7" xfId="0" applyNumberFormat="1" applyFont="1" applyFill="1" applyBorder="1"/>
    <xf numFmtId="1" fontId="4" fillId="2" borderId="7" xfId="0" applyNumberFormat="1" applyFont="1" applyFill="1" applyBorder="1"/>
    <xf numFmtId="0" fontId="6" fillId="3" borderId="1" xfId="0" applyFont="1" applyFill="1" applyBorder="1"/>
    <xf numFmtId="1" fontId="0" fillId="3" borderId="5" xfId="0" applyNumberFormat="1" applyFont="1" applyFill="1" applyBorder="1"/>
    <xf numFmtId="1" fontId="0" fillId="3" borderId="8" xfId="0" applyNumberFormat="1" applyFont="1" applyFill="1" applyBorder="1"/>
    <xf numFmtId="0" fontId="6" fillId="4" borderId="1" xfId="0" applyFont="1" applyFill="1" applyBorder="1"/>
    <xf numFmtId="0" fontId="6" fillId="4" borderId="2" xfId="0" applyFont="1" applyFill="1" applyBorder="1"/>
    <xf numFmtId="1" fontId="0" fillId="4" borderId="4" xfId="0" applyNumberFormat="1" applyFont="1" applyFill="1" applyBorder="1"/>
    <xf numFmtId="1" fontId="0" fillId="4" borderId="5" xfId="0" applyNumberFormat="1" applyFont="1" applyFill="1" applyBorder="1"/>
    <xf numFmtId="1" fontId="0" fillId="4" borderId="6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1" fontId="0" fillId="3" borderId="0" xfId="0" applyNumberFormat="1" applyFont="1" applyFill="1" applyBorder="1"/>
    <xf numFmtId="1" fontId="0" fillId="3" borderId="7" xfId="0" applyNumberFormat="1" applyFont="1" applyFill="1" applyBorder="1"/>
    <xf numFmtId="1" fontId="4" fillId="3" borderId="8" xfId="0" applyNumberFormat="1" applyFont="1" applyFill="1" applyBorder="1"/>
    <xf numFmtId="0" fontId="3" fillId="4" borderId="3" xfId="0" applyFont="1" applyFill="1" applyBorder="1"/>
    <xf numFmtId="1" fontId="4" fillId="4" borderId="8" xfId="0" applyNumberFormat="1" applyFont="1" applyFill="1" applyBorder="1"/>
    <xf numFmtId="0" fontId="0" fillId="2" borderId="8" xfId="0" applyFill="1" applyBorder="1"/>
    <xf numFmtId="0" fontId="4" fillId="2" borderId="0" xfId="0" applyFont="1" applyFill="1" applyBorder="1"/>
    <xf numFmtId="0" fontId="0" fillId="0" borderId="7" xfId="0" applyBorder="1"/>
    <xf numFmtId="164" fontId="4" fillId="2" borderId="5" xfId="0" applyNumberFormat="1" applyFont="1" applyFill="1" applyBorder="1"/>
    <xf numFmtId="1" fontId="4" fillId="2" borderId="8" xfId="0" applyNumberFormat="1" applyFont="1" applyFill="1" applyBorder="1"/>
    <xf numFmtId="1" fontId="4" fillId="4" borderId="6" xfId="0" applyNumberFormat="1" applyFont="1" applyFill="1" applyBorder="1"/>
    <xf numFmtId="1" fontId="4" fillId="3" borderId="6" xfId="0" applyNumberFormat="1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" fontId="1" fillId="3" borderId="6" xfId="0" applyNumberFormat="1" applyFont="1" applyFill="1" applyBorder="1"/>
    <xf numFmtId="0" fontId="3" fillId="4" borderId="2" xfId="0" applyFont="1" applyFill="1" applyBorder="1"/>
    <xf numFmtId="1" fontId="1" fillId="4" borderId="6" xfId="0" applyNumberFormat="1" applyFont="1" applyFill="1" applyBorder="1"/>
    <xf numFmtId="1" fontId="1" fillId="4" borderId="7" xfId="0" applyNumberFormat="1" applyFont="1" applyFill="1" applyBorder="1"/>
    <xf numFmtId="1" fontId="1" fillId="3" borderId="8" xfId="0" applyNumberFormat="1" applyFont="1" applyFill="1" applyBorder="1"/>
    <xf numFmtId="0" fontId="0" fillId="4" borderId="2" xfId="0" applyFill="1" applyBorder="1"/>
    <xf numFmtId="1" fontId="0" fillId="4" borderId="0" xfId="0" applyNumberFormat="1" applyFont="1" applyFill="1" applyBorder="1"/>
    <xf numFmtId="1" fontId="0" fillId="4" borderId="7" xfId="0" applyNumberFormat="1" applyFont="1" applyFill="1" applyBorder="1"/>
    <xf numFmtId="1" fontId="0" fillId="2" borderId="0" xfId="0" applyNumberFormat="1" applyFill="1" applyBorder="1"/>
    <xf numFmtId="0" fontId="7" fillId="3" borderId="0" xfId="0" applyFont="1" applyFill="1" applyBorder="1"/>
    <xf numFmtId="1" fontId="7" fillId="3" borderId="5" xfId="0" applyNumberFormat="1" applyFont="1" applyFill="1" applyBorder="1"/>
    <xf numFmtId="0" fontId="7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71"/>
  <sheetViews>
    <sheetView workbookViewId="0">
      <selection activeCell="D16" sqref="D16:E17"/>
    </sheetView>
  </sheetViews>
  <sheetFormatPr defaultRowHeight="15" x14ac:dyDescent="0.25"/>
  <cols>
    <col min="2" max="2" width="18.85546875" customWidth="1"/>
  </cols>
  <sheetData>
    <row r="2" spans="2:14" x14ac:dyDescent="0.25">
      <c r="B2" s="18" t="s">
        <v>12</v>
      </c>
      <c r="C2" s="1" t="s">
        <v>0</v>
      </c>
      <c r="D2" s="2"/>
      <c r="E2" s="3"/>
      <c r="F2" s="3"/>
      <c r="G2" s="3"/>
      <c r="H2" s="28"/>
      <c r="I2" s="3" t="s">
        <v>11</v>
      </c>
      <c r="J2" s="16"/>
      <c r="K2" s="16"/>
      <c r="L2" s="3"/>
      <c r="M2" s="3"/>
      <c r="N2" s="19"/>
    </row>
    <row r="3" spans="2:14" x14ac:dyDescent="0.25">
      <c r="B3" t="s">
        <v>1</v>
      </c>
      <c r="C3" s="4">
        <v>30</v>
      </c>
      <c r="D3" s="5">
        <v>30</v>
      </c>
      <c r="E3" s="5">
        <v>7</v>
      </c>
      <c r="F3" s="5">
        <v>2</v>
      </c>
      <c r="G3" s="5">
        <v>3</v>
      </c>
      <c r="H3" s="6">
        <v>0</v>
      </c>
      <c r="I3" s="5">
        <v>19</v>
      </c>
      <c r="J3" s="5">
        <v>18</v>
      </c>
      <c r="K3" s="5">
        <v>9</v>
      </c>
      <c r="L3" s="5">
        <v>11</v>
      </c>
      <c r="M3" s="5">
        <v>34</v>
      </c>
      <c r="N3" s="6">
        <v>1</v>
      </c>
    </row>
    <row r="4" spans="2:14" x14ac:dyDescent="0.25">
      <c r="B4" t="s">
        <v>2</v>
      </c>
      <c r="C4" s="4">
        <v>6</v>
      </c>
      <c r="D4" s="5">
        <v>0</v>
      </c>
      <c r="E4" s="5">
        <v>7</v>
      </c>
      <c r="F4" s="5">
        <v>9</v>
      </c>
      <c r="G4" s="5">
        <v>0</v>
      </c>
      <c r="H4" s="6">
        <v>0</v>
      </c>
      <c r="I4" s="5">
        <v>0</v>
      </c>
      <c r="J4" s="5">
        <v>14</v>
      </c>
      <c r="K4" s="5">
        <v>2</v>
      </c>
      <c r="L4" s="5">
        <v>3</v>
      </c>
      <c r="M4" s="5">
        <v>0</v>
      </c>
      <c r="N4" s="6">
        <v>0</v>
      </c>
    </row>
    <row r="5" spans="2:14" x14ac:dyDescent="0.25">
      <c r="B5" t="s">
        <v>3</v>
      </c>
      <c r="C5" s="4">
        <v>8</v>
      </c>
      <c r="D5" s="5">
        <v>0</v>
      </c>
      <c r="E5" s="5">
        <v>2</v>
      </c>
      <c r="F5" s="5">
        <v>1</v>
      </c>
      <c r="G5" s="5">
        <v>10</v>
      </c>
      <c r="H5" s="6">
        <v>15</v>
      </c>
      <c r="I5" s="5">
        <v>0</v>
      </c>
      <c r="J5" s="5">
        <v>2</v>
      </c>
      <c r="K5" s="5">
        <v>0</v>
      </c>
      <c r="L5" s="5">
        <v>10</v>
      </c>
      <c r="M5" s="5">
        <v>0</v>
      </c>
      <c r="N5" s="6">
        <v>10</v>
      </c>
    </row>
    <row r="6" spans="2:14" x14ac:dyDescent="0.25">
      <c r="B6" t="s">
        <v>4</v>
      </c>
      <c r="C6" s="4">
        <v>89</v>
      </c>
      <c r="D6" s="5">
        <v>37</v>
      </c>
      <c r="E6" s="5">
        <v>19</v>
      </c>
      <c r="F6" s="5">
        <v>12</v>
      </c>
      <c r="G6" s="5">
        <v>18</v>
      </c>
      <c r="H6" s="6">
        <v>24</v>
      </c>
      <c r="I6" s="5">
        <v>25</v>
      </c>
      <c r="J6" s="5">
        <v>62</v>
      </c>
      <c r="K6" s="5">
        <v>19</v>
      </c>
      <c r="L6" s="5">
        <v>32</v>
      </c>
      <c r="M6" s="5">
        <v>39</v>
      </c>
      <c r="N6" s="6">
        <v>24</v>
      </c>
    </row>
    <row r="7" spans="2:14" x14ac:dyDescent="0.25">
      <c r="C7" s="4"/>
      <c r="D7" s="5"/>
      <c r="E7" s="5"/>
      <c r="F7" s="5"/>
      <c r="G7" s="5"/>
      <c r="H7" s="6"/>
      <c r="I7" s="5"/>
      <c r="J7" s="5"/>
      <c r="K7" s="5"/>
      <c r="L7" s="5"/>
      <c r="M7" s="5"/>
      <c r="N7" s="6"/>
    </row>
    <row r="8" spans="2:14" x14ac:dyDescent="0.25">
      <c r="B8" t="s">
        <v>1</v>
      </c>
      <c r="C8" s="7">
        <f>C3/C6*100</f>
        <v>33.707865168539328</v>
      </c>
      <c r="D8" s="8">
        <f>D3/D6*100</f>
        <v>81.081081081081081</v>
      </c>
      <c r="E8" s="9">
        <f t="shared" ref="E8:M8" si="0">E3/E6*100</f>
        <v>36.84210526315789</v>
      </c>
      <c r="F8" s="9">
        <f t="shared" si="0"/>
        <v>16.666666666666664</v>
      </c>
      <c r="G8" s="9">
        <f t="shared" si="0"/>
        <v>16.666666666666664</v>
      </c>
      <c r="H8" s="6">
        <v>0</v>
      </c>
      <c r="I8" s="8">
        <f>I3/I6*100</f>
        <v>76</v>
      </c>
      <c r="J8" s="12">
        <f>J3/J6*100</f>
        <v>29.032258064516132</v>
      </c>
      <c r="K8" s="12">
        <f>K3/K6*100</f>
        <v>47.368421052631575</v>
      </c>
      <c r="L8" s="12">
        <f>L3/L6*100</f>
        <v>34.375</v>
      </c>
      <c r="M8" s="8">
        <f>M3/M6*100</f>
        <v>87.179487179487182</v>
      </c>
      <c r="N8" s="10">
        <f>N3/N6*100</f>
        <v>4.1666666666666661</v>
      </c>
    </row>
    <row r="9" spans="2:14" x14ac:dyDescent="0.25">
      <c r="B9" t="s">
        <v>2</v>
      </c>
      <c r="C9" s="11">
        <f t="shared" ref="C9:M9" si="1">C4/C6*100</f>
        <v>6.7415730337078648</v>
      </c>
      <c r="D9" s="9">
        <f t="shared" si="1"/>
        <v>0</v>
      </c>
      <c r="E9" s="9">
        <f t="shared" si="1"/>
        <v>36.84210526315789</v>
      </c>
      <c r="F9" s="12">
        <f t="shared" si="1"/>
        <v>75</v>
      </c>
      <c r="G9" s="9">
        <f t="shared" si="1"/>
        <v>0</v>
      </c>
      <c r="H9" s="6">
        <v>0</v>
      </c>
      <c r="I9" s="9">
        <f>I4/I6*100</f>
        <v>0</v>
      </c>
      <c r="J9" s="9">
        <f>J4/J6*100</f>
        <v>22.58064516129032</v>
      </c>
      <c r="K9" s="9">
        <f>K4/K6*100</f>
        <v>10.526315789473683</v>
      </c>
      <c r="L9" s="9">
        <f>L4/L6*100</f>
        <v>9.375</v>
      </c>
      <c r="M9" s="9">
        <f>M4/M6*100</f>
        <v>0</v>
      </c>
      <c r="N9" s="10">
        <f>N4/N6*100</f>
        <v>0</v>
      </c>
    </row>
    <row r="10" spans="2:14" x14ac:dyDescent="0.25">
      <c r="B10" t="s">
        <v>3</v>
      </c>
      <c r="C10" s="13">
        <f t="shared" ref="C10:M10" si="2">C5/C6*100</f>
        <v>8.9887640449438209</v>
      </c>
      <c r="D10" s="14">
        <f t="shared" si="2"/>
        <v>0</v>
      </c>
      <c r="E10" s="14">
        <f t="shared" si="2"/>
        <v>10.526315789473683</v>
      </c>
      <c r="F10" s="14">
        <f t="shared" si="2"/>
        <v>8.3333333333333321</v>
      </c>
      <c r="G10" s="17">
        <f t="shared" si="2"/>
        <v>55.555555555555557</v>
      </c>
      <c r="H10" s="110">
        <v>62.5</v>
      </c>
      <c r="I10" s="14">
        <f>I5/I6*100</f>
        <v>0</v>
      </c>
      <c r="J10" s="14">
        <f>J5/J6*100</f>
        <v>3.225806451612903</v>
      </c>
      <c r="K10" s="14">
        <f>K5/K6*100</f>
        <v>0</v>
      </c>
      <c r="L10" s="14">
        <f>L5/L6*100</f>
        <v>31.25</v>
      </c>
      <c r="M10" s="14">
        <f>M5/M6*100</f>
        <v>0</v>
      </c>
      <c r="N10" s="15">
        <f>N5/N6*100</f>
        <v>41.666666666666671</v>
      </c>
    </row>
    <row r="14" spans="2:14" x14ac:dyDescent="0.25">
      <c r="B14" t="s">
        <v>13</v>
      </c>
      <c r="C14" t="s">
        <v>8</v>
      </c>
      <c r="D14" t="s">
        <v>9</v>
      </c>
      <c r="E14" t="s">
        <v>10</v>
      </c>
    </row>
    <row r="15" spans="2:14" x14ac:dyDescent="0.25">
      <c r="B15" t="s">
        <v>5</v>
      </c>
      <c r="C15">
        <f>COUNT(C3:N3)</f>
        <v>12</v>
      </c>
    </row>
    <row r="16" spans="2:14" x14ac:dyDescent="0.25">
      <c r="B16" t="s">
        <v>6</v>
      </c>
      <c r="C16">
        <v>1</v>
      </c>
      <c r="D16">
        <f>C16/C15</f>
        <v>8.3333333333333329E-2</v>
      </c>
      <c r="E16">
        <f>SQRT((D16*(1-D16))/$C$15)</f>
        <v>7.9785592313028175E-2</v>
      </c>
    </row>
    <row r="17" spans="2:14" x14ac:dyDescent="0.25">
      <c r="B17" t="s">
        <v>7</v>
      </c>
      <c r="C17">
        <v>3</v>
      </c>
      <c r="D17">
        <f>C17/C15</f>
        <v>0.25</v>
      </c>
      <c r="E17">
        <f>SQRT((D17*(1-D17))/$C$15)</f>
        <v>0.125</v>
      </c>
    </row>
    <row r="20" spans="2:14" x14ac:dyDescent="0.25">
      <c r="B20" s="18" t="s">
        <v>12</v>
      </c>
      <c r="C20" s="1" t="s">
        <v>14</v>
      </c>
      <c r="D20" s="3"/>
      <c r="E20" s="3"/>
      <c r="F20" s="16"/>
      <c r="G20" s="16"/>
      <c r="H20" s="16"/>
      <c r="I20" s="41"/>
      <c r="J20" s="27" t="s">
        <v>15</v>
      </c>
      <c r="K20" s="16"/>
      <c r="L20" s="16"/>
      <c r="M20" s="41"/>
      <c r="N20" s="28"/>
    </row>
    <row r="21" spans="2:14" x14ac:dyDescent="0.25">
      <c r="B21" t="s">
        <v>1</v>
      </c>
      <c r="C21" s="4">
        <v>11</v>
      </c>
      <c r="D21" s="5">
        <v>18</v>
      </c>
      <c r="E21" s="5">
        <v>4</v>
      </c>
      <c r="F21" s="5">
        <v>49</v>
      </c>
      <c r="G21" s="5">
        <v>6</v>
      </c>
      <c r="H21" s="5">
        <v>26</v>
      </c>
      <c r="I21" s="5">
        <v>7</v>
      </c>
      <c r="J21" s="4">
        <v>6</v>
      </c>
      <c r="K21" s="5">
        <v>4</v>
      </c>
      <c r="L21" s="20">
        <v>5</v>
      </c>
      <c r="M21" s="20">
        <v>13</v>
      </c>
      <c r="N21" s="25">
        <v>3</v>
      </c>
    </row>
    <row r="22" spans="2:14" x14ac:dyDescent="0.25">
      <c r="B22" t="s">
        <v>2</v>
      </c>
      <c r="C22" s="4">
        <v>4</v>
      </c>
      <c r="D22" s="5">
        <v>0</v>
      </c>
      <c r="E22" s="5">
        <v>8</v>
      </c>
      <c r="F22" s="5">
        <v>16</v>
      </c>
      <c r="G22" s="5">
        <v>0</v>
      </c>
      <c r="H22" s="5">
        <v>0</v>
      </c>
      <c r="I22" s="5">
        <v>5</v>
      </c>
      <c r="J22" s="4">
        <v>8</v>
      </c>
      <c r="K22" s="5">
        <v>9</v>
      </c>
      <c r="L22" s="20">
        <v>0</v>
      </c>
      <c r="M22" s="20">
        <v>0</v>
      </c>
      <c r="N22" s="25">
        <v>9</v>
      </c>
    </row>
    <row r="23" spans="2:14" x14ac:dyDescent="0.25">
      <c r="B23" t="s">
        <v>3</v>
      </c>
      <c r="C23" s="4">
        <v>0</v>
      </c>
      <c r="D23" s="5">
        <v>0</v>
      </c>
      <c r="E23" s="5">
        <v>0</v>
      </c>
      <c r="F23" s="5">
        <v>13</v>
      </c>
      <c r="G23" s="5">
        <v>2</v>
      </c>
      <c r="H23" s="5">
        <v>0</v>
      </c>
      <c r="I23" s="5">
        <v>5</v>
      </c>
      <c r="J23" s="4">
        <v>0</v>
      </c>
      <c r="K23" s="5">
        <v>8</v>
      </c>
      <c r="L23" s="20">
        <v>1</v>
      </c>
      <c r="M23" s="20">
        <v>0</v>
      </c>
      <c r="N23" s="25">
        <v>22</v>
      </c>
    </row>
    <row r="24" spans="2:14" x14ac:dyDescent="0.25">
      <c r="B24" t="s">
        <v>4</v>
      </c>
      <c r="C24" s="4">
        <v>17</v>
      </c>
      <c r="D24" s="5">
        <v>22</v>
      </c>
      <c r="E24" s="5">
        <v>15</v>
      </c>
      <c r="F24" s="5">
        <v>96</v>
      </c>
      <c r="G24" s="5">
        <v>12</v>
      </c>
      <c r="H24" s="5">
        <v>26</v>
      </c>
      <c r="I24" s="5">
        <v>56</v>
      </c>
      <c r="J24" s="4">
        <v>18</v>
      </c>
      <c r="K24" s="5">
        <v>25</v>
      </c>
      <c r="L24" s="20">
        <v>11</v>
      </c>
      <c r="M24" s="20">
        <v>17</v>
      </c>
      <c r="N24" s="25">
        <v>44</v>
      </c>
    </row>
    <row r="25" spans="2:14" x14ac:dyDescent="0.25">
      <c r="C25" s="4"/>
      <c r="D25" s="21"/>
      <c r="E25" s="5"/>
      <c r="F25" s="21"/>
      <c r="G25" s="21"/>
      <c r="H25" s="21"/>
      <c r="I25" s="5"/>
      <c r="J25" s="4"/>
      <c r="K25" s="5"/>
      <c r="L25" s="5"/>
      <c r="M25" s="5"/>
      <c r="N25" s="6"/>
    </row>
    <row r="26" spans="2:14" x14ac:dyDescent="0.25">
      <c r="B26" t="s">
        <v>1</v>
      </c>
      <c r="C26" s="7">
        <f t="shared" ref="C26:K26" si="3">C21/C24*100</f>
        <v>64.705882352941174</v>
      </c>
      <c r="D26" s="22">
        <f t="shared" si="3"/>
        <v>81.818181818181827</v>
      </c>
      <c r="E26" s="9">
        <f t="shared" si="3"/>
        <v>26.666666666666668</v>
      </c>
      <c r="F26" s="12">
        <f t="shared" si="3"/>
        <v>51.041666666666664</v>
      </c>
      <c r="G26" s="12">
        <f t="shared" si="3"/>
        <v>50</v>
      </c>
      <c r="H26" s="22">
        <f t="shared" si="3"/>
        <v>100</v>
      </c>
      <c r="I26" s="9">
        <f>I21/I24*100</f>
        <v>12.5</v>
      </c>
      <c r="J26" s="11">
        <f>J21/J24*100</f>
        <v>33.333333333333329</v>
      </c>
      <c r="K26" s="9">
        <f>K21/K24*100</f>
        <v>16</v>
      </c>
      <c r="L26" s="12">
        <f>L21/L24*100</f>
        <v>45.454545454545453</v>
      </c>
      <c r="M26" s="22">
        <f t="shared" ref="M26:N26" si="4">M21/M24*100</f>
        <v>76.470588235294116</v>
      </c>
      <c r="N26" s="38">
        <f t="shared" si="4"/>
        <v>6.8181818181818175</v>
      </c>
    </row>
    <row r="27" spans="2:14" x14ac:dyDescent="0.25">
      <c r="B27" t="s">
        <v>2</v>
      </c>
      <c r="C27" s="11">
        <f t="shared" ref="C27:K27" si="5">C22/C24*100</f>
        <v>23.52941176470588</v>
      </c>
      <c r="D27" s="9">
        <f t="shared" si="5"/>
        <v>0</v>
      </c>
      <c r="E27" s="12">
        <f t="shared" si="5"/>
        <v>53.333333333333336</v>
      </c>
      <c r="F27" s="9">
        <f t="shared" si="5"/>
        <v>16.666666666666664</v>
      </c>
      <c r="G27" s="9">
        <f t="shared" si="5"/>
        <v>0</v>
      </c>
      <c r="H27" s="9">
        <f t="shared" si="5"/>
        <v>0</v>
      </c>
      <c r="I27" s="33">
        <f>I22/I24*100</f>
        <v>8.9285714285714288</v>
      </c>
      <c r="J27" s="7">
        <f>J22/J24*100</f>
        <v>44.444444444444443</v>
      </c>
      <c r="K27" s="12">
        <f>K22/K24*100</f>
        <v>36</v>
      </c>
      <c r="L27" s="9">
        <f>L22/L24*100</f>
        <v>0</v>
      </c>
      <c r="M27" s="33">
        <f t="shared" ref="M27:N27" si="6">M22/M24*100</f>
        <v>0</v>
      </c>
      <c r="N27" s="34">
        <f t="shared" si="6"/>
        <v>20.454545454545457</v>
      </c>
    </row>
    <row r="28" spans="2:14" x14ac:dyDescent="0.25">
      <c r="B28" t="s">
        <v>3</v>
      </c>
      <c r="C28" s="13">
        <f t="shared" ref="C28:K28" si="7">C23/C24*100</f>
        <v>0</v>
      </c>
      <c r="D28" s="14">
        <f t="shared" si="7"/>
        <v>0</v>
      </c>
      <c r="E28" s="14">
        <f t="shared" si="7"/>
        <v>0</v>
      </c>
      <c r="F28" s="14">
        <f t="shared" si="7"/>
        <v>13.541666666666666</v>
      </c>
      <c r="G28" s="14">
        <f t="shared" si="7"/>
        <v>16.666666666666664</v>
      </c>
      <c r="H28" s="14">
        <f t="shared" si="7"/>
        <v>0</v>
      </c>
      <c r="I28" s="14">
        <f>I23/I24*100</f>
        <v>8.9285714285714288</v>
      </c>
      <c r="J28" s="13">
        <f>J23/J24*100</f>
        <v>0</v>
      </c>
      <c r="K28" s="14">
        <f>K23/K24*100</f>
        <v>32</v>
      </c>
      <c r="L28" s="14">
        <f>L23/L24*100</f>
        <v>9.0909090909090917</v>
      </c>
      <c r="M28" s="43">
        <f t="shared" ref="M28:N28" si="8">M23/M24*100</f>
        <v>0</v>
      </c>
      <c r="N28" s="40">
        <f t="shared" si="8"/>
        <v>50</v>
      </c>
    </row>
    <row r="32" spans="2:14" x14ac:dyDescent="0.25">
      <c r="B32" t="s">
        <v>16</v>
      </c>
      <c r="C32" t="s">
        <v>8</v>
      </c>
      <c r="D32" t="s">
        <v>9</v>
      </c>
      <c r="E32" t="s">
        <v>10</v>
      </c>
    </row>
    <row r="33" spans="2:10" x14ac:dyDescent="0.25">
      <c r="B33" t="s">
        <v>5</v>
      </c>
      <c r="C33">
        <f>COUNT(C21:N21)</f>
        <v>12</v>
      </c>
    </row>
    <row r="34" spans="2:10" x14ac:dyDescent="0.25">
      <c r="B34" t="s">
        <v>6</v>
      </c>
      <c r="C34">
        <v>0</v>
      </c>
      <c r="D34">
        <f>C34/C33</f>
        <v>0</v>
      </c>
      <c r="E34">
        <f>SQRT((D34*(1-D34))/$C$15)</f>
        <v>0</v>
      </c>
    </row>
    <row r="35" spans="2:10" x14ac:dyDescent="0.25">
      <c r="B35" t="s">
        <v>7</v>
      </c>
      <c r="C35">
        <v>3</v>
      </c>
      <c r="D35">
        <f>C35/C33</f>
        <v>0.25</v>
      </c>
      <c r="E35">
        <f>SQRT((D35*(1-D35))/$C33)</f>
        <v>0.125</v>
      </c>
    </row>
    <row r="38" spans="2:10" x14ac:dyDescent="0.25">
      <c r="B38" s="18" t="s">
        <v>12</v>
      </c>
      <c r="C38" s="27" t="s">
        <v>17</v>
      </c>
      <c r="D38" s="16"/>
      <c r="E38" s="16"/>
      <c r="F38" s="16"/>
      <c r="G38" s="16"/>
      <c r="H38" s="16"/>
      <c r="I38" s="28"/>
      <c r="J38" s="32"/>
    </row>
    <row r="39" spans="2:10" x14ac:dyDescent="0.25">
      <c r="B39" t="s">
        <v>1</v>
      </c>
      <c r="C39" s="29">
        <v>4</v>
      </c>
      <c r="D39" s="20">
        <v>19</v>
      </c>
      <c r="E39" s="20">
        <v>7</v>
      </c>
      <c r="F39" s="20">
        <v>3</v>
      </c>
      <c r="G39" s="5">
        <v>2</v>
      </c>
      <c r="H39" s="5">
        <v>41</v>
      </c>
      <c r="I39" s="6">
        <v>4</v>
      </c>
    </row>
    <row r="40" spans="2:10" x14ac:dyDescent="0.25">
      <c r="B40" t="s">
        <v>2</v>
      </c>
      <c r="C40" s="29">
        <v>0</v>
      </c>
      <c r="D40" s="20">
        <v>1</v>
      </c>
      <c r="E40" s="20">
        <v>6</v>
      </c>
      <c r="F40" s="5">
        <v>10</v>
      </c>
      <c r="G40" s="5">
        <v>1</v>
      </c>
      <c r="H40" s="5">
        <v>0</v>
      </c>
      <c r="I40" s="6">
        <v>2</v>
      </c>
    </row>
    <row r="41" spans="2:10" x14ac:dyDescent="0.25">
      <c r="B41" t="s">
        <v>3</v>
      </c>
      <c r="C41" s="29">
        <v>26</v>
      </c>
      <c r="D41" s="20">
        <v>1</v>
      </c>
      <c r="E41" s="20">
        <v>0</v>
      </c>
      <c r="F41" s="5">
        <v>2</v>
      </c>
      <c r="G41" s="5">
        <v>3</v>
      </c>
      <c r="H41" s="5">
        <v>0</v>
      </c>
      <c r="I41" s="6">
        <v>2</v>
      </c>
    </row>
    <row r="42" spans="2:10" x14ac:dyDescent="0.25">
      <c r="B42" t="s">
        <v>4</v>
      </c>
      <c r="C42" s="29">
        <v>74</v>
      </c>
      <c r="D42" s="20">
        <v>23</v>
      </c>
      <c r="E42" s="20">
        <v>16</v>
      </c>
      <c r="F42" s="5">
        <v>19</v>
      </c>
      <c r="G42" s="5">
        <v>11</v>
      </c>
      <c r="H42" s="5">
        <v>57</v>
      </c>
      <c r="I42" s="6">
        <v>13</v>
      </c>
    </row>
    <row r="43" spans="2:10" x14ac:dyDescent="0.25">
      <c r="C43" s="4"/>
      <c r="D43" s="5"/>
      <c r="E43" s="5"/>
      <c r="F43" s="5"/>
      <c r="G43" s="5"/>
      <c r="H43" s="5"/>
      <c r="I43" s="6"/>
    </row>
    <row r="44" spans="2:10" x14ac:dyDescent="0.25">
      <c r="B44" t="s">
        <v>1</v>
      </c>
      <c r="C44" s="11">
        <f t="shared" ref="C44:J44" si="9">C39/C42*100</f>
        <v>5.4054054054054053</v>
      </c>
      <c r="D44" s="12">
        <f t="shared" si="9"/>
        <v>82.608695652173907</v>
      </c>
      <c r="E44" s="12">
        <f t="shared" si="9"/>
        <v>43.75</v>
      </c>
      <c r="F44" s="9">
        <f t="shared" si="9"/>
        <v>15.789473684210526</v>
      </c>
      <c r="G44" s="9">
        <f t="shared" si="9"/>
        <v>18.181818181818183</v>
      </c>
      <c r="H44" s="22">
        <f t="shared" si="9"/>
        <v>71.929824561403507</v>
      </c>
      <c r="I44" s="26">
        <f t="shared" si="9"/>
        <v>30.76923076923077</v>
      </c>
    </row>
    <row r="45" spans="2:10" x14ac:dyDescent="0.25">
      <c r="B45" t="s">
        <v>2</v>
      </c>
      <c r="C45" s="11">
        <f t="shared" ref="C45:J45" si="10">C40/C42*100</f>
        <v>0</v>
      </c>
      <c r="D45" s="9">
        <f t="shared" si="10"/>
        <v>4.3478260869565215</v>
      </c>
      <c r="E45" s="9">
        <f t="shared" si="10"/>
        <v>37.5</v>
      </c>
      <c r="F45" s="12">
        <f t="shared" si="10"/>
        <v>52.631578947368418</v>
      </c>
      <c r="G45" s="9">
        <f t="shared" si="10"/>
        <v>9.0909090909090917</v>
      </c>
      <c r="H45" s="9">
        <f t="shared" si="10"/>
        <v>0</v>
      </c>
      <c r="I45" s="10">
        <f t="shared" si="10"/>
        <v>15.384615384615385</v>
      </c>
    </row>
    <row r="46" spans="2:10" x14ac:dyDescent="0.25">
      <c r="B46" t="s">
        <v>3</v>
      </c>
      <c r="C46" s="31">
        <f t="shared" ref="C46:J46" si="11">C41/C42*100</f>
        <v>35.135135135135137</v>
      </c>
      <c r="D46" s="14">
        <f t="shared" si="11"/>
        <v>4.3478260869565215</v>
      </c>
      <c r="E46" s="14">
        <f t="shared" si="11"/>
        <v>0</v>
      </c>
      <c r="F46" s="14">
        <f t="shared" si="11"/>
        <v>10.526315789473683</v>
      </c>
      <c r="G46" s="17">
        <f t="shared" si="11"/>
        <v>27.27272727272727</v>
      </c>
      <c r="H46" s="14">
        <f t="shared" si="11"/>
        <v>0</v>
      </c>
      <c r="I46" s="24">
        <f t="shared" si="11"/>
        <v>15.384615384615385</v>
      </c>
    </row>
    <row r="50" spans="2:8" x14ac:dyDescent="0.25">
      <c r="B50" t="s">
        <v>18</v>
      </c>
      <c r="C50" t="s">
        <v>8</v>
      </c>
      <c r="D50" t="s">
        <v>9</v>
      </c>
      <c r="E50" t="s">
        <v>10</v>
      </c>
    </row>
    <row r="51" spans="2:8" x14ac:dyDescent="0.25">
      <c r="B51" t="s">
        <v>5</v>
      </c>
      <c r="C51">
        <f>COUNT(C39:M39)</f>
        <v>7</v>
      </c>
    </row>
    <row r="52" spans="2:8" x14ac:dyDescent="0.25">
      <c r="B52" t="s">
        <v>6</v>
      </c>
      <c r="C52">
        <v>0</v>
      </c>
      <c r="D52">
        <f>C52/C51</f>
        <v>0</v>
      </c>
      <c r="E52">
        <f>SQRT((D52*(1-D52))/$C$15)</f>
        <v>0</v>
      </c>
    </row>
    <row r="53" spans="2:8" x14ac:dyDescent="0.25">
      <c r="B53" t="s">
        <v>7</v>
      </c>
      <c r="C53">
        <v>1</v>
      </c>
      <c r="D53">
        <f>C53/C51</f>
        <v>0.14285714285714285</v>
      </c>
      <c r="E53">
        <f>SQRT((D53*(1-D53))/$C51)</f>
        <v>0.13226001425322165</v>
      </c>
    </row>
    <row r="56" spans="2:8" x14ac:dyDescent="0.25">
      <c r="B56" s="18" t="s">
        <v>12</v>
      </c>
      <c r="C56" s="27" t="s">
        <v>19</v>
      </c>
      <c r="D56" s="16">
        <v>7.11</v>
      </c>
      <c r="E56" s="41"/>
      <c r="F56" s="41"/>
      <c r="G56" s="46"/>
      <c r="H56" s="47"/>
    </row>
    <row r="57" spans="2:8" x14ac:dyDescent="0.25">
      <c r="B57" t="s">
        <v>1</v>
      </c>
      <c r="C57" s="48">
        <v>5</v>
      </c>
      <c r="D57" s="44">
        <v>3</v>
      </c>
      <c r="E57" s="44">
        <v>0</v>
      </c>
      <c r="F57" s="44">
        <v>8</v>
      </c>
      <c r="G57" s="49">
        <v>5</v>
      </c>
      <c r="H57" s="50">
        <v>5</v>
      </c>
    </row>
    <row r="58" spans="2:8" x14ac:dyDescent="0.25">
      <c r="B58" t="s">
        <v>2</v>
      </c>
      <c r="C58" s="48">
        <v>0</v>
      </c>
      <c r="D58" s="44">
        <v>0</v>
      </c>
      <c r="E58" s="44">
        <v>3</v>
      </c>
      <c r="F58" s="44">
        <v>35</v>
      </c>
      <c r="G58" s="49">
        <v>13</v>
      </c>
      <c r="H58" s="50">
        <v>0</v>
      </c>
    </row>
    <row r="59" spans="2:8" x14ac:dyDescent="0.25">
      <c r="B59" t="s">
        <v>3</v>
      </c>
      <c r="C59" s="48">
        <v>4</v>
      </c>
      <c r="D59" s="44">
        <v>1</v>
      </c>
      <c r="E59" s="44">
        <v>0</v>
      </c>
      <c r="F59" s="44">
        <v>8</v>
      </c>
      <c r="G59" s="49">
        <v>9</v>
      </c>
      <c r="H59" s="50">
        <v>0</v>
      </c>
    </row>
    <row r="60" spans="2:8" x14ac:dyDescent="0.25">
      <c r="B60" t="s">
        <v>4</v>
      </c>
      <c r="C60" s="48">
        <v>14</v>
      </c>
      <c r="D60" s="44">
        <v>15</v>
      </c>
      <c r="E60" s="44">
        <v>9</v>
      </c>
      <c r="F60" s="44">
        <v>64</v>
      </c>
      <c r="G60" s="49">
        <v>46</v>
      </c>
      <c r="H60" s="50">
        <v>11</v>
      </c>
    </row>
    <row r="61" spans="2:8" x14ac:dyDescent="0.25">
      <c r="C61" s="51"/>
      <c r="D61" s="45"/>
      <c r="E61" s="45"/>
      <c r="F61" s="45"/>
      <c r="G61" s="52"/>
      <c r="H61" s="53"/>
    </row>
    <row r="62" spans="2:8" x14ac:dyDescent="0.25">
      <c r="B62" t="s">
        <v>1</v>
      </c>
      <c r="C62" s="54">
        <f>C57/C60*100</f>
        <v>35.714285714285715</v>
      </c>
      <c r="D62" s="42">
        <f t="shared" ref="D62:H62" si="12">D57/D60*100</f>
        <v>20</v>
      </c>
      <c r="E62" s="42">
        <f t="shared" si="12"/>
        <v>0</v>
      </c>
      <c r="F62" s="42">
        <f t="shared" si="12"/>
        <v>12.5</v>
      </c>
      <c r="G62" s="42">
        <f t="shared" si="12"/>
        <v>10.869565217391305</v>
      </c>
      <c r="H62" s="23">
        <f t="shared" si="12"/>
        <v>45.454545454545453</v>
      </c>
    </row>
    <row r="63" spans="2:8" x14ac:dyDescent="0.25">
      <c r="B63" t="s">
        <v>2</v>
      </c>
      <c r="C63" s="30">
        <f t="shared" ref="C63:H63" si="13">C58/C60*100</f>
        <v>0</v>
      </c>
      <c r="D63" s="33">
        <f t="shared" si="13"/>
        <v>0</v>
      </c>
      <c r="E63" s="33">
        <f t="shared" si="13"/>
        <v>33.333333333333329</v>
      </c>
      <c r="F63" s="33">
        <f t="shared" si="13"/>
        <v>54.6875</v>
      </c>
      <c r="G63" s="33">
        <f t="shared" si="13"/>
        <v>28.260869565217391</v>
      </c>
      <c r="H63" s="34">
        <f t="shared" si="13"/>
        <v>0</v>
      </c>
    </row>
    <row r="64" spans="2:8" x14ac:dyDescent="0.25">
      <c r="B64" t="s">
        <v>3</v>
      </c>
      <c r="C64" s="39">
        <f t="shared" ref="C64:H64" si="14">C59/C60*100</f>
        <v>28.571428571428569</v>
      </c>
      <c r="D64" s="43">
        <f t="shared" si="14"/>
        <v>6.666666666666667</v>
      </c>
      <c r="E64" s="43">
        <f t="shared" si="14"/>
        <v>0</v>
      </c>
      <c r="F64" s="43">
        <f t="shared" si="14"/>
        <v>12.5</v>
      </c>
      <c r="G64" s="43">
        <f t="shared" si="14"/>
        <v>19.565217391304348</v>
      </c>
      <c r="H64" s="40">
        <f t="shared" si="14"/>
        <v>0</v>
      </c>
    </row>
    <row r="68" spans="2:5" x14ac:dyDescent="0.25">
      <c r="B68" t="s">
        <v>33</v>
      </c>
      <c r="C68" t="s">
        <v>8</v>
      </c>
      <c r="D68" t="s">
        <v>9</v>
      </c>
      <c r="E68" t="s">
        <v>10</v>
      </c>
    </row>
    <row r="69" spans="2:5" x14ac:dyDescent="0.25">
      <c r="B69" t="s">
        <v>5</v>
      </c>
      <c r="C69">
        <f>COUNT(C57:M57)</f>
        <v>6</v>
      </c>
    </row>
    <row r="70" spans="2:5" x14ac:dyDescent="0.25">
      <c r="B70" t="s">
        <v>6</v>
      </c>
      <c r="C70">
        <v>0</v>
      </c>
      <c r="D70">
        <f>C70/C69</f>
        <v>0</v>
      </c>
      <c r="E70">
        <f>SQRT((D70*(1-D70))/$C$15)</f>
        <v>0</v>
      </c>
    </row>
    <row r="71" spans="2:5" x14ac:dyDescent="0.25">
      <c r="B71" t="s">
        <v>7</v>
      </c>
      <c r="C71">
        <v>1</v>
      </c>
      <c r="D71">
        <f>C71/C69</f>
        <v>0.16666666666666666</v>
      </c>
      <c r="E71">
        <f>SQRT((D71*(1-D71))/$C69)</f>
        <v>0.15214515486254615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72"/>
  <sheetViews>
    <sheetView workbookViewId="0">
      <selection activeCell="O40" sqref="O40"/>
    </sheetView>
  </sheetViews>
  <sheetFormatPr defaultRowHeight="15" x14ac:dyDescent="0.25"/>
  <cols>
    <col min="2" max="2" width="21.7109375" customWidth="1"/>
  </cols>
  <sheetData>
    <row r="3" spans="2:8" x14ac:dyDescent="0.25">
      <c r="B3" s="75" t="s">
        <v>20</v>
      </c>
      <c r="C3" s="76" t="s">
        <v>25</v>
      </c>
      <c r="D3" s="77"/>
      <c r="E3" s="77"/>
      <c r="F3" s="78"/>
      <c r="G3" s="76" t="s">
        <v>26</v>
      </c>
      <c r="H3" s="79"/>
    </row>
    <row r="4" spans="2:8" x14ac:dyDescent="0.25">
      <c r="B4" s="80" t="s">
        <v>1</v>
      </c>
      <c r="C4" s="81">
        <v>4</v>
      </c>
      <c r="D4" s="82">
        <v>8</v>
      </c>
      <c r="E4" s="82">
        <v>1</v>
      </c>
      <c r="F4" s="83">
        <v>3</v>
      </c>
      <c r="G4" s="82">
        <v>0</v>
      </c>
      <c r="H4" s="83">
        <v>4</v>
      </c>
    </row>
    <row r="5" spans="2:8" x14ac:dyDescent="0.25">
      <c r="B5" s="80" t="s">
        <v>2</v>
      </c>
      <c r="C5" s="81">
        <v>12</v>
      </c>
      <c r="D5" s="82">
        <v>4</v>
      </c>
      <c r="E5" s="82">
        <v>5</v>
      </c>
      <c r="F5" s="83">
        <v>0</v>
      </c>
      <c r="G5" s="82">
        <v>1</v>
      </c>
      <c r="H5" s="83">
        <v>1</v>
      </c>
    </row>
    <row r="6" spans="2:8" x14ac:dyDescent="0.25">
      <c r="B6" s="80" t="s">
        <v>3</v>
      </c>
      <c r="C6" s="81">
        <v>0</v>
      </c>
      <c r="D6" s="82">
        <v>2</v>
      </c>
      <c r="E6" s="82">
        <v>0</v>
      </c>
      <c r="F6" s="83">
        <v>0</v>
      </c>
      <c r="G6" s="82">
        <v>27</v>
      </c>
      <c r="H6" s="83">
        <v>0</v>
      </c>
    </row>
    <row r="7" spans="2:8" x14ac:dyDescent="0.25">
      <c r="B7" s="80" t="s">
        <v>4</v>
      </c>
      <c r="C7" s="81">
        <v>16</v>
      </c>
      <c r="D7" s="82">
        <v>19</v>
      </c>
      <c r="E7" s="82">
        <v>25</v>
      </c>
      <c r="F7" s="83">
        <v>5</v>
      </c>
      <c r="G7" s="82">
        <v>44</v>
      </c>
      <c r="H7" s="83">
        <v>5</v>
      </c>
    </row>
    <row r="8" spans="2:8" x14ac:dyDescent="0.25">
      <c r="B8" s="80"/>
      <c r="C8" s="81"/>
      <c r="D8" s="82"/>
      <c r="E8" s="82"/>
      <c r="F8" s="83"/>
      <c r="G8" s="82"/>
      <c r="H8" s="83"/>
    </row>
    <row r="9" spans="2:8" x14ac:dyDescent="0.25">
      <c r="B9" s="80" t="s">
        <v>1</v>
      </c>
      <c r="C9" s="84">
        <f t="shared" ref="C9:H9" si="0">C4/C7*100</f>
        <v>25</v>
      </c>
      <c r="D9" s="85">
        <f t="shared" si="0"/>
        <v>42.105263157894733</v>
      </c>
      <c r="E9" s="86">
        <f t="shared" si="0"/>
        <v>4</v>
      </c>
      <c r="F9" s="23">
        <f t="shared" si="0"/>
        <v>60</v>
      </c>
      <c r="G9" s="86">
        <f t="shared" si="0"/>
        <v>0</v>
      </c>
      <c r="H9" s="87">
        <f t="shared" si="0"/>
        <v>80</v>
      </c>
    </row>
    <row r="10" spans="2:8" x14ac:dyDescent="0.25">
      <c r="B10" s="80" t="s">
        <v>2</v>
      </c>
      <c r="C10" s="88">
        <f t="shared" ref="C10:H10" si="1">C5/C7*100</f>
        <v>75</v>
      </c>
      <c r="D10" s="86">
        <f t="shared" si="1"/>
        <v>21.052631578947366</v>
      </c>
      <c r="E10" s="85">
        <f t="shared" si="1"/>
        <v>20</v>
      </c>
      <c r="F10" s="89">
        <f t="shared" si="1"/>
        <v>0</v>
      </c>
      <c r="G10" s="86">
        <f t="shared" si="1"/>
        <v>2.2727272727272729</v>
      </c>
      <c r="H10" s="89">
        <f t="shared" si="1"/>
        <v>20</v>
      </c>
    </row>
    <row r="11" spans="2:8" x14ac:dyDescent="0.25">
      <c r="B11" s="80" t="s">
        <v>3</v>
      </c>
      <c r="C11" s="90">
        <f t="shared" ref="C11:H11" si="2">C6/C7*100</f>
        <v>0</v>
      </c>
      <c r="D11" s="91">
        <f t="shared" si="2"/>
        <v>10.526315789473683</v>
      </c>
      <c r="E11" s="91">
        <f t="shared" si="2"/>
        <v>0</v>
      </c>
      <c r="F11" s="92">
        <f t="shared" si="2"/>
        <v>0</v>
      </c>
      <c r="G11" s="93">
        <f t="shared" si="2"/>
        <v>61.363636363636367</v>
      </c>
      <c r="H11" s="92">
        <f t="shared" si="2"/>
        <v>0</v>
      </c>
    </row>
    <row r="12" spans="2:8" x14ac:dyDescent="0.25">
      <c r="B12" s="80"/>
      <c r="C12" s="80"/>
      <c r="D12" s="80"/>
      <c r="E12" s="80"/>
      <c r="F12" s="80"/>
      <c r="G12" s="80"/>
      <c r="H12" s="80"/>
    </row>
    <row r="13" spans="2:8" x14ac:dyDescent="0.25">
      <c r="B13" s="80"/>
      <c r="C13" s="80"/>
      <c r="D13" s="80"/>
      <c r="E13" s="80"/>
      <c r="F13" s="80"/>
      <c r="G13" s="80"/>
      <c r="H13" s="80"/>
    </row>
    <row r="14" spans="2:8" x14ac:dyDescent="0.25">
      <c r="B14" s="80"/>
      <c r="C14" s="80"/>
      <c r="D14" s="80"/>
      <c r="E14" s="80"/>
      <c r="F14" s="80"/>
      <c r="G14" s="80"/>
      <c r="H14" s="80"/>
    </row>
    <row r="15" spans="2:8" x14ac:dyDescent="0.25">
      <c r="B15" s="80" t="s">
        <v>21</v>
      </c>
      <c r="C15" s="80" t="s">
        <v>8</v>
      </c>
      <c r="D15" s="80" t="s">
        <v>9</v>
      </c>
      <c r="E15" s="80" t="s">
        <v>10</v>
      </c>
      <c r="F15" s="80"/>
      <c r="G15" s="80"/>
      <c r="H15" s="80"/>
    </row>
    <row r="16" spans="2:8" x14ac:dyDescent="0.25">
      <c r="B16" s="80" t="s">
        <v>5</v>
      </c>
      <c r="C16" s="80">
        <f>COUNT(C4:N4)</f>
        <v>6</v>
      </c>
      <c r="D16" s="80"/>
      <c r="E16" s="80"/>
      <c r="F16" s="80"/>
      <c r="G16" s="80"/>
      <c r="H16" s="80"/>
    </row>
    <row r="17" spans="2:11" x14ac:dyDescent="0.25">
      <c r="B17" s="80" t="s">
        <v>6</v>
      </c>
      <c r="C17" s="80">
        <v>0</v>
      </c>
      <c r="D17" s="80">
        <f>C17/C16</f>
        <v>0</v>
      </c>
      <c r="E17" s="80">
        <f>SQRT((D17*(1-D17))/$C$16)</f>
        <v>0</v>
      </c>
      <c r="F17" s="80"/>
      <c r="G17" s="80"/>
      <c r="H17" s="80"/>
    </row>
    <row r="18" spans="2:11" x14ac:dyDescent="0.25">
      <c r="B18" s="80" t="s">
        <v>7</v>
      </c>
      <c r="C18" s="80">
        <v>1</v>
      </c>
      <c r="D18" s="80">
        <f>C18/C16</f>
        <v>0.16666666666666666</v>
      </c>
      <c r="E18" s="80">
        <f>SQRT((D18*(1-D18))/$C$16)</f>
        <v>0.15214515486254615</v>
      </c>
      <c r="F18" s="80"/>
      <c r="G18" s="80"/>
      <c r="H18" s="80"/>
    </row>
    <row r="21" spans="2:11" x14ac:dyDescent="0.25">
      <c r="B21" s="55" t="s">
        <v>20</v>
      </c>
      <c r="C21" s="56" t="s">
        <v>25</v>
      </c>
      <c r="D21" s="57"/>
      <c r="E21" s="57"/>
      <c r="F21" s="95" t="s">
        <v>26</v>
      </c>
      <c r="G21" s="59"/>
      <c r="H21" s="59"/>
      <c r="I21" s="59"/>
      <c r="J21" s="59"/>
      <c r="K21" s="60"/>
    </row>
    <row r="22" spans="2:11" x14ac:dyDescent="0.25">
      <c r="B22" s="61" t="s">
        <v>1</v>
      </c>
      <c r="C22" s="62">
        <v>6</v>
      </c>
      <c r="D22" s="63">
        <v>0</v>
      </c>
      <c r="E22" s="63">
        <v>3</v>
      </c>
      <c r="F22" s="62">
        <v>4</v>
      </c>
      <c r="G22" s="63">
        <v>0</v>
      </c>
      <c r="H22" s="63">
        <v>2</v>
      </c>
      <c r="I22" s="63">
        <v>3</v>
      </c>
      <c r="J22" s="63">
        <v>4</v>
      </c>
      <c r="K22" s="64">
        <v>4</v>
      </c>
    </row>
    <row r="23" spans="2:11" x14ac:dyDescent="0.25">
      <c r="B23" s="61" t="s">
        <v>2</v>
      </c>
      <c r="C23" s="62">
        <v>2</v>
      </c>
      <c r="D23" s="63">
        <v>6</v>
      </c>
      <c r="E23" s="63">
        <v>0</v>
      </c>
      <c r="F23" s="62">
        <v>3</v>
      </c>
      <c r="G23" s="63">
        <v>2</v>
      </c>
      <c r="H23" s="63">
        <v>3</v>
      </c>
      <c r="I23" s="63">
        <v>2</v>
      </c>
      <c r="J23" s="63">
        <v>0</v>
      </c>
      <c r="K23" s="64">
        <v>0</v>
      </c>
    </row>
    <row r="24" spans="2:11" x14ac:dyDescent="0.25">
      <c r="B24" s="61" t="s">
        <v>3</v>
      </c>
      <c r="C24" s="62">
        <v>5</v>
      </c>
      <c r="D24" s="63">
        <v>11</v>
      </c>
      <c r="E24" s="63">
        <v>3</v>
      </c>
      <c r="F24" s="62">
        <v>3</v>
      </c>
      <c r="G24" s="63">
        <v>3</v>
      </c>
      <c r="H24" s="63">
        <v>2</v>
      </c>
      <c r="I24" s="63">
        <v>0</v>
      </c>
      <c r="J24" s="63">
        <v>1</v>
      </c>
      <c r="K24" s="64">
        <v>0</v>
      </c>
    </row>
    <row r="25" spans="2:11" x14ac:dyDescent="0.25">
      <c r="B25" s="61" t="s">
        <v>4</v>
      </c>
      <c r="C25" s="62">
        <v>13</v>
      </c>
      <c r="D25" s="63">
        <v>46</v>
      </c>
      <c r="E25" s="63">
        <v>6</v>
      </c>
      <c r="F25" s="62">
        <v>10</v>
      </c>
      <c r="G25" s="63">
        <v>7</v>
      </c>
      <c r="H25" s="63">
        <v>11</v>
      </c>
      <c r="I25" s="63">
        <v>6</v>
      </c>
      <c r="J25" s="63">
        <v>6</v>
      </c>
      <c r="K25" s="64">
        <v>8</v>
      </c>
    </row>
    <row r="26" spans="2:11" x14ac:dyDescent="0.25">
      <c r="B26" s="61"/>
      <c r="C26" s="62"/>
      <c r="D26" s="63"/>
      <c r="E26" s="63"/>
      <c r="F26" s="62"/>
      <c r="G26" s="63"/>
      <c r="H26" s="63"/>
      <c r="I26" s="63"/>
      <c r="J26" s="63"/>
      <c r="K26" s="64"/>
    </row>
    <row r="27" spans="2:11" x14ac:dyDescent="0.25">
      <c r="B27" s="61" t="s">
        <v>1</v>
      </c>
      <c r="C27" s="65">
        <f t="shared" ref="C27:K27" si="3">C22/C25*100</f>
        <v>46.153846153846153</v>
      </c>
      <c r="D27" s="66">
        <f t="shared" si="3"/>
        <v>0</v>
      </c>
      <c r="E27" s="66">
        <f t="shared" si="3"/>
        <v>50</v>
      </c>
      <c r="F27" s="65">
        <f t="shared" si="3"/>
        <v>40</v>
      </c>
      <c r="G27" s="66">
        <f t="shared" si="3"/>
        <v>0</v>
      </c>
      <c r="H27" s="66">
        <f t="shared" si="3"/>
        <v>18.181818181818183</v>
      </c>
      <c r="I27" s="70">
        <f t="shared" si="3"/>
        <v>50</v>
      </c>
      <c r="J27" s="105">
        <f t="shared" si="3"/>
        <v>66.666666666666657</v>
      </c>
      <c r="K27" s="68">
        <f t="shared" si="3"/>
        <v>50</v>
      </c>
    </row>
    <row r="28" spans="2:11" x14ac:dyDescent="0.25">
      <c r="B28" s="61" t="s">
        <v>2</v>
      </c>
      <c r="C28" s="69">
        <f t="shared" ref="C28:K28" si="4">C23/C25*100</f>
        <v>15.384615384615385</v>
      </c>
      <c r="D28" s="66">
        <f t="shared" si="4"/>
        <v>13.043478260869565</v>
      </c>
      <c r="E28" s="66">
        <f t="shared" si="4"/>
        <v>0</v>
      </c>
      <c r="F28" s="69">
        <f t="shared" si="4"/>
        <v>30</v>
      </c>
      <c r="G28" s="66">
        <f t="shared" si="4"/>
        <v>28.571428571428569</v>
      </c>
      <c r="H28" s="70">
        <f t="shared" si="4"/>
        <v>27.27272727272727</v>
      </c>
      <c r="I28" s="66">
        <f t="shared" si="4"/>
        <v>33.333333333333329</v>
      </c>
      <c r="J28" s="105">
        <f t="shared" si="4"/>
        <v>0</v>
      </c>
      <c r="K28" s="96">
        <f t="shared" si="4"/>
        <v>0</v>
      </c>
    </row>
    <row r="29" spans="2:11" x14ac:dyDescent="0.25">
      <c r="B29" s="61" t="s">
        <v>3</v>
      </c>
      <c r="C29" s="71">
        <f t="shared" ref="C29:K29" si="5">C24/C25*100</f>
        <v>38.461538461538467</v>
      </c>
      <c r="D29" s="72">
        <f t="shared" si="5"/>
        <v>23.913043478260871</v>
      </c>
      <c r="E29" s="74">
        <f t="shared" si="5"/>
        <v>50</v>
      </c>
      <c r="F29" s="71">
        <f t="shared" si="5"/>
        <v>30</v>
      </c>
      <c r="G29" s="72">
        <f t="shared" si="5"/>
        <v>42.857142857142854</v>
      </c>
      <c r="H29" s="74">
        <f t="shared" si="5"/>
        <v>18.181818181818183</v>
      </c>
      <c r="I29" s="74">
        <f t="shared" si="5"/>
        <v>0</v>
      </c>
      <c r="J29" s="106">
        <f t="shared" si="5"/>
        <v>16.666666666666664</v>
      </c>
      <c r="K29" s="97">
        <f t="shared" si="5"/>
        <v>0</v>
      </c>
    </row>
    <row r="30" spans="2:11" x14ac:dyDescent="0.25">
      <c r="B30" s="61"/>
      <c r="C30" s="61"/>
      <c r="D30" s="61"/>
      <c r="E30" s="61"/>
      <c r="F30" s="61"/>
      <c r="G30" s="61"/>
      <c r="H30" s="61"/>
      <c r="I30" s="61"/>
      <c r="J30" s="61"/>
      <c r="K30" s="61"/>
    </row>
    <row r="31" spans="2:11" x14ac:dyDescent="0.25"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2:11" x14ac:dyDescent="0.25">
      <c r="B32" s="61"/>
      <c r="C32" s="61"/>
      <c r="D32" s="61"/>
      <c r="E32" s="61"/>
      <c r="F32" s="61"/>
      <c r="G32" s="61"/>
      <c r="H32" s="61"/>
      <c r="I32" s="61"/>
      <c r="J32" s="61"/>
      <c r="K32" s="61"/>
    </row>
    <row r="33" spans="2:11" x14ac:dyDescent="0.25">
      <c r="B33" s="61" t="s">
        <v>23</v>
      </c>
      <c r="C33" s="61" t="s">
        <v>8</v>
      </c>
      <c r="D33" s="61" t="s">
        <v>9</v>
      </c>
      <c r="E33" s="61" t="s">
        <v>10</v>
      </c>
      <c r="F33" s="61"/>
      <c r="G33" s="61"/>
      <c r="H33" s="61"/>
      <c r="I33" s="61"/>
      <c r="J33" s="61"/>
      <c r="K33" s="61"/>
    </row>
    <row r="34" spans="2:11" x14ac:dyDescent="0.25">
      <c r="B34" s="61" t="s">
        <v>5</v>
      </c>
      <c r="C34" s="61">
        <f>COUNT(C22:N22)</f>
        <v>9</v>
      </c>
      <c r="D34" s="61"/>
      <c r="E34" s="61"/>
      <c r="F34" s="61"/>
      <c r="G34" s="61"/>
      <c r="H34" s="61"/>
      <c r="I34" s="61"/>
      <c r="J34" s="61"/>
      <c r="K34" s="61"/>
    </row>
    <row r="35" spans="2:11" x14ac:dyDescent="0.25">
      <c r="B35" s="61" t="s">
        <v>6</v>
      </c>
      <c r="C35" s="61">
        <v>0</v>
      </c>
      <c r="D35" s="61">
        <f>C35/C34</f>
        <v>0</v>
      </c>
      <c r="E35" s="61">
        <f>SQRT((D35*(1-D35))/$C$16)</f>
        <v>0</v>
      </c>
      <c r="F35" s="61"/>
      <c r="G35" s="61"/>
      <c r="H35" s="61"/>
      <c r="I35" s="61"/>
      <c r="J35" s="61"/>
      <c r="K35" s="61"/>
    </row>
    <row r="36" spans="2:11" x14ac:dyDescent="0.25">
      <c r="B36" s="61" t="s">
        <v>7</v>
      </c>
      <c r="C36" s="61">
        <v>0</v>
      </c>
      <c r="D36" s="61">
        <f>C36/C34</f>
        <v>0</v>
      </c>
      <c r="E36" s="61">
        <f>SQRT((D36*(1-D36))/$C$34)</f>
        <v>0</v>
      </c>
      <c r="F36" s="61"/>
      <c r="G36" s="61"/>
      <c r="H36" s="61"/>
      <c r="I36" s="61"/>
      <c r="J36" s="61"/>
      <c r="K36" s="61"/>
    </row>
    <row r="39" spans="2:11" x14ac:dyDescent="0.25">
      <c r="B39" s="75" t="s">
        <v>20</v>
      </c>
      <c r="C39" s="98" t="s">
        <v>25</v>
      </c>
      <c r="D39" s="99"/>
      <c r="E39" s="99"/>
      <c r="F39" s="99"/>
      <c r="G39" s="99"/>
      <c r="H39" s="99"/>
      <c r="I39" s="78"/>
    </row>
    <row r="40" spans="2:11" x14ac:dyDescent="0.25">
      <c r="B40" s="80" t="s">
        <v>1</v>
      </c>
      <c r="C40" s="81">
        <v>14</v>
      </c>
      <c r="D40" s="82">
        <v>16</v>
      </c>
      <c r="E40" s="82">
        <v>3</v>
      </c>
      <c r="F40" s="82">
        <v>6</v>
      </c>
      <c r="G40" s="82">
        <v>6</v>
      </c>
      <c r="H40" s="82">
        <v>3</v>
      </c>
      <c r="I40" s="83">
        <v>7</v>
      </c>
    </row>
    <row r="41" spans="2:11" x14ac:dyDescent="0.25">
      <c r="B41" s="80" t="s">
        <v>2</v>
      </c>
      <c r="C41" s="81">
        <v>17</v>
      </c>
      <c r="D41" s="82">
        <v>0</v>
      </c>
      <c r="E41" s="82">
        <v>0</v>
      </c>
      <c r="F41" s="82">
        <v>0</v>
      </c>
      <c r="G41" s="82">
        <v>0</v>
      </c>
      <c r="H41" s="82">
        <v>1</v>
      </c>
      <c r="I41" s="83">
        <v>4</v>
      </c>
    </row>
    <row r="42" spans="2:11" x14ac:dyDescent="0.25">
      <c r="B42" s="80" t="s">
        <v>3</v>
      </c>
      <c r="C42" s="81">
        <v>9</v>
      </c>
      <c r="D42" s="82">
        <v>0</v>
      </c>
      <c r="E42" s="82">
        <v>0</v>
      </c>
      <c r="F42" s="82">
        <v>0</v>
      </c>
      <c r="G42" s="82">
        <v>9</v>
      </c>
      <c r="H42" s="82">
        <v>1</v>
      </c>
      <c r="I42" s="83">
        <v>2</v>
      </c>
    </row>
    <row r="43" spans="2:11" x14ac:dyDescent="0.25">
      <c r="B43" s="80" t="s">
        <v>4</v>
      </c>
      <c r="C43" s="81">
        <v>49</v>
      </c>
      <c r="D43" s="82">
        <v>17</v>
      </c>
      <c r="E43" s="82">
        <v>6</v>
      </c>
      <c r="F43" s="82">
        <v>7</v>
      </c>
      <c r="G43" s="82">
        <v>33</v>
      </c>
      <c r="H43" s="82">
        <v>8</v>
      </c>
      <c r="I43" s="83">
        <v>11</v>
      </c>
    </row>
    <row r="44" spans="2:11" x14ac:dyDescent="0.25">
      <c r="B44" s="80"/>
      <c r="C44" s="81"/>
      <c r="D44" s="82"/>
      <c r="E44" s="82"/>
      <c r="F44" s="82"/>
      <c r="G44" s="82"/>
      <c r="H44" s="82"/>
      <c r="I44" s="83"/>
    </row>
    <row r="45" spans="2:11" x14ac:dyDescent="0.25">
      <c r="B45" s="80" t="s">
        <v>1</v>
      </c>
      <c r="C45" s="84">
        <f t="shared" ref="C45:I45" si="6">C40/C43*100</f>
        <v>28.571428571428569</v>
      </c>
      <c r="D45" s="22">
        <f>D40/D43*100</f>
        <v>94.117647058823522</v>
      </c>
      <c r="E45" s="22">
        <f t="shared" si="6"/>
        <v>50</v>
      </c>
      <c r="F45" s="22">
        <f t="shared" si="6"/>
        <v>85.714285714285708</v>
      </c>
      <c r="G45" s="86">
        <f t="shared" si="6"/>
        <v>18.181818181818183</v>
      </c>
      <c r="H45" s="85">
        <f t="shared" si="6"/>
        <v>37.5</v>
      </c>
      <c r="I45" s="87">
        <f t="shared" si="6"/>
        <v>63.636363636363633</v>
      </c>
    </row>
    <row r="46" spans="2:11" x14ac:dyDescent="0.25">
      <c r="B46" s="80" t="s">
        <v>2</v>
      </c>
      <c r="C46" s="88">
        <f t="shared" ref="C46:I46" si="7">C41/C43*100</f>
        <v>34.693877551020407</v>
      </c>
      <c r="D46" s="86">
        <f t="shared" si="7"/>
        <v>0</v>
      </c>
      <c r="E46" s="86">
        <f t="shared" si="7"/>
        <v>0</v>
      </c>
      <c r="F46" s="86">
        <f t="shared" si="7"/>
        <v>0</v>
      </c>
      <c r="G46" s="86">
        <f t="shared" si="7"/>
        <v>0</v>
      </c>
      <c r="H46" s="86">
        <f t="shared" si="7"/>
        <v>12.5</v>
      </c>
      <c r="I46" s="89">
        <f t="shared" si="7"/>
        <v>36.363636363636367</v>
      </c>
    </row>
    <row r="47" spans="2:11" x14ac:dyDescent="0.25">
      <c r="B47" s="80" t="s">
        <v>3</v>
      </c>
      <c r="C47" s="90">
        <f t="shared" ref="C47:I47" si="8">C42/C43*100</f>
        <v>18.367346938775512</v>
      </c>
      <c r="D47" s="91">
        <f t="shared" si="8"/>
        <v>0</v>
      </c>
      <c r="E47" s="91">
        <f t="shared" si="8"/>
        <v>0</v>
      </c>
      <c r="F47" s="91">
        <f t="shared" si="8"/>
        <v>0</v>
      </c>
      <c r="G47" s="93">
        <f t="shared" si="8"/>
        <v>27.27272727272727</v>
      </c>
      <c r="H47" s="91">
        <f t="shared" si="8"/>
        <v>12.5</v>
      </c>
      <c r="I47" s="92">
        <f t="shared" si="8"/>
        <v>18.181818181818183</v>
      </c>
    </row>
    <row r="48" spans="2:11" x14ac:dyDescent="0.25">
      <c r="B48" s="80"/>
      <c r="C48" s="80"/>
      <c r="D48" s="80"/>
      <c r="E48" s="80"/>
      <c r="F48" s="80"/>
      <c r="G48" s="80"/>
      <c r="H48" s="80"/>
      <c r="I48" s="80"/>
    </row>
    <row r="49" spans="2:9" x14ac:dyDescent="0.25">
      <c r="B49" s="80"/>
      <c r="C49" s="80"/>
      <c r="D49" s="80"/>
      <c r="E49" s="80"/>
      <c r="F49" s="80"/>
      <c r="G49" s="80"/>
      <c r="H49" s="80"/>
      <c r="I49" s="80"/>
    </row>
    <row r="50" spans="2:9" x14ac:dyDescent="0.25">
      <c r="B50" s="80"/>
      <c r="C50" s="80"/>
      <c r="D50" s="80"/>
      <c r="E50" s="80"/>
      <c r="F50" s="80"/>
      <c r="G50" s="80"/>
      <c r="H50" s="80"/>
      <c r="I50" s="80"/>
    </row>
    <row r="51" spans="2:9" x14ac:dyDescent="0.25">
      <c r="B51" s="80" t="s">
        <v>22</v>
      </c>
      <c r="C51" s="80" t="s">
        <v>8</v>
      </c>
      <c r="D51" s="80" t="s">
        <v>9</v>
      </c>
      <c r="E51" s="80" t="s">
        <v>10</v>
      </c>
      <c r="F51" s="80"/>
      <c r="G51" s="80"/>
      <c r="H51" s="80"/>
      <c r="I51" s="80"/>
    </row>
    <row r="52" spans="2:9" x14ac:dyDescent="0.25">
      <c r="B52" s="80" t="s">
        <v>5</v>
      </c>
      <c r="C52" s="80">
        <f>COUNT(C40:L40)</f>
        <v>7</v>
      </c>
      <c r="D52" s="80"/>
      <c r="E52" s="80"/>
      <c r="F52" s="80"/>
      <c r="G52" s="80"/>
      <c r="H52" s="80"/>
      <c r="I52" s="80"/>
    </row>
    <row r="53" spans="2:9" x14ac:dyDescent="0.25">
      <c r="B53" s="80" t="s">
        <v>6</v>
      </c>
      <c r="C53" s="80">
        <v>0</v>
      </c>
      <c r="D53" s="80">
        <f>C53/C52</f>
        <v>0</v>
      </c>
      <c r="E53" s="80">
        <f>SQRT((D53*(1-D53))/$C$16)</f>
        <v>0</v>
      </c>
      <c r="F53" s="80"/>
      <c r="G53" s="80"/>
      <c r="H53" s="80"/>
      <c r="I53" s="80"/>
    </row>
    <row r="54" spans="2:9" x14ac:dyDescent="0.25">
      <c r="B54" s="80" t="s">
        <v>7</v>
      </c>
      <c r="C54" s="80">
        <v>3</v>
      </c>
      <c r="D54" s="80">
        <f>C54/C52</f>
        <v>0.42857142857142855</v>
      </c>
      <c r="E54" s="80">
        <f>SQRT((D54*(1-D54))/$C$52)</f>
        <v>0.18704390591656489</v>
      </c>
      <c r="F54" s="80"/>
      <c r="G54" s="80"/>
      <c r="H54" s="80"/>
      <c r="I54" s="80"/>
    </row>
    <row r="57" spans="2:9" x14ac:dyDescent="0.25">
      <c r="B57" s="55" t="s">
        <v>20</v>
      </c>
      <c r="C57" s="95" t="s">
        <v>24</v>
      </c>
      <c r="D57" s="59"/>
      <c r="E57" s="103"/>
      <c r="F57" s="103"/>
      <c r="G57" s="103"/>
      <c r="H57" s="104"/>
    </row>
    <row r="58" spans="2:9" x14ac:dyDescent="0.25">
      <c r="B58" s="61" t="s">
        <v>1</v>
      </c>
      <c r="C58" s="62">
        <v>3</v>
      </c>
      <c r="D58" s="63">
        <v>0</v>
      </c>
      <c r="E58" s="63">
        <v>8</v>
      </c>
      <c r="F58" s="63">
        <v>0</v>
      </c>
      <c r="G58" s="63">
        <v>1</v>
      </c>
      <c r="H58" s="64">
        <v>9</v>
      </c>
    </row>
    <row r="59" spans="2:9" x14ac:dyDescent="0.25">
      <c r="B59" s="61" t="s">
        <v>2</v>
      </c>
      <c r="C59" s="62">
        <v>0</v>
      </c>
      <c r="D59" s="63">
        <v>0</v>
      </c>
      <c r="E59" s="63">
        <v>2</v>
      </c>
      <c r="F59" s="63">
        <v>2</v>
      </c>
      <c r="G59" s="63">
        <v>1</v>
      </c>
      <c r="H59" s="64">
        <v>7</v>
      </c>
    </row>
    <row r="60" spans="2:9" x14ac:dyDescent="0.25">
      <c r="B60" s="61" t="s">
        <v>3</v>
      </c>
      <c r="C60" s="62">
        <v>0</v>
      </c>
      <c r="D60" s="63">
        <v>2</v>
      </c>
      <c r="E60" s="63">
        <v>2</v>
      </c>
      <c r="F60" s="63">
        <v>4</v>
      </c>
      <c r="G60" s="63">
        <v>4</v>
      </c>
      <c r="H60" s="64">
        <v>5</v>
      </c>
    </row>
    <row r="61" spans="2:9" x14ac:dyDescent="0.25">
      <c r="B61" s="61" t="s">
        <v>4</v>
      </c>
      <c r="C61" s="62">
        <v>7</v>
      </c>
      <c r="D61" s="63">
        <v>6</v>
      </c>
      <c r="E61" s="63">
        <v>15</v>
      </c>
      <c r="F61" s="63">
        <v>9</v>
      </c>
      <c r="G61" s="63">
        <v>9</v>
      </c>
      <c r="H61" s="64">
        <v>23</v>
      </c>
    </row>
    <row r="62" spans="2:9" x14ac:dyDescent="0.25">
      <c r="B62" s="61"/>
      <c r="C62" s="62"/>
      <c r="D62" s="63"/>
      <c r="E62" s="63"/>
      <c r="F62" s="63"/>
      <c r="G62" s="63"/>
      <c r="H62" s="64"/>
    </row>
    <row r="63" spans="2:9" x14ac:dyDescent="0.25">
      <c r="B63" s="61" t="s">
        <v>1</v>
      </c>
      <c r="C63" s="37">
        <f t="shared" ref="C63:H63" si="9">C58/C61*100</f>
        <v>42.857142857142854</v>
      </c>
      <c r="D63" s="105">
        <f t="shared" si="9"/>
        <v>0</v>
      </c>
      <c r="E63" s="105">
        <f t="shared" si="9"/>
        <v>53.333333333333336</v>
      </c>
      <c r="F63" s="105">
        <f t="shared" si="9"/>
        <v>0</v>
      </c>
      <c r="G63" s="105">
        <f t="shared" si="9"/>
        <v>11.111111111111111</v>
      </c>
      <c r="H63" s="96">
        <f t="shared" si="9"/>
        <v>39.130434782608695</v>
      </c>
    </row>
    <row r="64" spans="2:9" x14ac:dyDescent="0.25">
      <c r="B64" s="61" t="s">
        <v>2</v>
      </c>
      <c r="C64" s="69">
        <f t="shared" ref="C64:H64" si="10">C59/C61*100</f>
        <v>0</v>
      </c>
      <c r="D64" s="66">
        <f t="shared" si="10"/>
        <v>0</v>
      </c>
      <c r="E64" s="66">
        <f t="shared" si="10"/>
        <v>13.333333333333334</v>
      </c>
      <c r="F64" s="66">
        <f t="shared" si="10"/>
        <v>22.222222222222221</v>
      </c>
      <c r="G64" s="66">
        <f t="shared" si="10"/>
        <v>11.111111111111111</v>
      </c>
      <c r="H64" s="67">
        <f t="shared" si="10"/>
        <v>30.434782608695656</v>
      </c>
    </row>
    <row r="65" spans="2:8" x14ac:dyDescent="0.25">
      <c r="B65" s="61" t="s">
        <v>3</v>
      </c>
      <c r="C65" s="71">
        <f t="shared" ref="C65:H65" si="11">C60/C61*100</f>
        <v>0</v>
      </c>
      <c r="D65" s="94">
        <f t="shared" si="11"/>
        <v>33.333333333333329</v>
      </c>
      <c r="E65" s="106">
        <f t="shared" si="11"/>
        <v>13.333333333333334</v>
      </c>
      <c r="F65" s="106">
        <f t="shared" si="11"/>
        <v>44.444444444444443</v>
      </c>
      <c r="G65" s="106">
        <f t="shared" si="11"/>
        <v>44.444444444444443</v>
      </c>
      <c r="H65" s="97">
        <f t="shared" si="11"/>
        <v>21.739130434782609</v>
      </c>
    </row>
    <row r="66" spans="2:8" x14ac:dyDescent="0.25">
      <c r="B66" s="61"/>
      <c r="C66" s="61"/>
      <c r="D66" s="61"/>
      <c r="E66" s="61"/>
      <c r="F66" s="61"/>
      <c r="G66" s="61"/>
      <c r="H66" s="61"/>
    </row>
    <row r="67" spans="2:8" x14ac:dyDescent="0.25">
      <c r="B67" s="61"/>
      <c r="C67" s="61"/>
      <c r="D67" s="61"/>
      <c r="E67" s="61"/>
      <c r="F67" s="61"/>
      <c r="G67" s="61"/>
      <c r="H67" s="61"/>
    </row>
    <row r="68" spans="2:8" x14ac:dyDescent="0.25">
      <c r="B68" s="61"/>
      <c r="C68" s="61"/>
      <c r="D68" s="61"/>
      <c r="E68" s="61"/>
      <c r="F68" s="61"/>
      <c r="G68" s="61"/>
      <c r="H68" s="61"/>
    </row>
    <row r="69" spans="2:8" x14ac:dyDescent="0.25">
      <c r="B69" s="61" t="s">
        <v>27</v>
      </c>
      <c r="C69" s="61" t="s">
        <v>8</v>
      </c>
      <c r="D69" s="61" t="s">
        <v>9</v>
      </c>
      <c r="E69" s="61" t="s">
        <v>10</v>
      </c>
      <c r="F69" s="61"/>
      <c r="G69" s="61"/>
      <c r="H69" s="61"/>
    </row>
    <row r="70" spans="2:8" x14ac:dyDescent="0.25">
      <c r="B70" s="61" t="s">
        <v>5</v>
      </c>
      <c r="C70" s="61">
        <f>COUNT(C58:N58)</f>
        <v>6</v>
      </c>
      <c r="D70" s="61"/>
      <c r="E70" s="61"/>
      <c r="F70" s="61"/>
      <c r="G70" s="61"/>
      <c r="H70" s="61"/>
    </row>
    <row r="71" spans="2:8" x14ac:dyDescent="0.25">
      <c r="B71" s="61" t="s">
        <v>6</v>
      </c>
      <c r="C71" s="61">
        <v>1</v>
      </c>
      <c r="D71" s="61">
        <f>C71/C70</f>
        <v>0.16666666666666666</v>
      </c>
      <c r="E71" s="61">
        <f>SQRT((D71*(1-D71))/$C$16)</f>
        <v>0.15214515486254615</v>
      </c>
      <c r="F71" s="61"/>
      <c r="G71" s="61"/>
      <c r="H71" s="61"/>
    </row>
    <row r="72" spans="2:8" x14ac:dyDescent="0.25">
      <c r="B72" s="61" t="s">
        <v>7</v>
      </c>
      <c r="C72" s="61">
        <v>1</v>
      </c>
      <c r="D72" s="61">
        <f>C72/C70</f>
        <v>0.16666666666666666</v>
      </c>
      <c r="E72" s="61">
        <f>SQRT((D72*(1-D72))/$C$70)</f>
        <v>0.15214515486254615</v>
      </c>
      <c r="F72" s="61"/>
      <c r="G72" s="61"/>
      <c r="H72" s="6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72"/>
  <sheetViews>
    <sheetView topLeftCell="A43" workbookViewId="0">
      <selection activeCell="C70" sqref="C70"/>
    </sheetView>
  </sheetViews>
  <sheetFormatPr defaultRowHeight="15" x14ac:dyDescent="0.25"/>
  <cols>
    <col min="2" max="2" width="14.85546875" customWidth="1"/>
  </cols>
  <sheetData>
    <row r="3" spans="2:8" x14ac:dyDescent="0.25">
      <c r="B3" s="75" t="s">
        <v>28</v>
      </c>
      <c r="C3" s="76" t="s">
        <v>0</v>
      </c>
      <c r="D3" s="77"/>
      <c r="E3" s="79"/>
      <c r="F3" s="76" t="s">
        <v>11</v>
      </c>
      <c r="G3" s="77"/>
      <c r="H3" s="108"/>
    </row>
    <row r="4" spans="2:8" x14ac:dyDescent="0.25">
      <c r="B4" s="80" t="s">
        <v>1</v>
      </c>
      <c r="C4" s="81">
        <v>4</v>
      </c>
      <c r="D4" s="82">
        <v>4</v>
      </c>
      <c r="E4" s="83">
        <v>3</v>
      </c>
      <c r="F4" s="81">
        <v>1</v>
      </c>
      <c r="G4" s="82">
        <v>1</v>
      </c>
      <c r="H4" s="83">
        <v>1</v>
      </c>
    </row>
    <row r="5" spans="2:8" x14ac:dyDescent="0.25">
      <c r="B5" s="80" t="s">
        <v>2</v>
      </c>
      <c r="C5" s="81">
        <v>0</v>
      </c>
      <c r="D5" s="82">
        <v>0</v>
      </c>
      <c r="E5" s="83">
        <v>0</v>
      </c>
      <c r="F5" s="81">
        <v>0</v>
      </c>
      <c r="G5" s="82">
        <v>1</v>
      </c>
      <c r="H5" s="83">
        <v>0</v>
      </c>
    </row>
    <row r="6" spans="2:8" x14ac:dyDescent="0.25">
      <c r="B6" s="80" t="s">
        <v>3</v>
      </c>
      <c r="C6" s="81">
        <v>0</v>
      </c>
      <c r="D6" s="82">
        <v>0</v>
      </c>
      <c r="E6" s="83">
        <v>0</v>
      </c>
      <c r="F6" s="81">
        <v>0</v>
      </c>
      <c r="G6" s="82">
        <v>1</v>
      </c>
      <c r="H6" s="83">
        <v>2</v>
      </c>
    </row>
    <row r="7" spans="2:8" x14ac:dyDescent="0.25">
      <c r="B7" s="80" t="s">
        <v>4</v>
      </c>
      <c r="C7" s="81">
        <v>4</v>
      </c>
      <c r="D7" s="82">
        <v>4</v>
      </c>
      <c r="E7" s="83">
        <v>3</v>
      </c>
      <c r="F7" s="81">
        <v>2</v>
      </c>
      <c r="G7" s="82">
        <v>3</v>
      </c>
      <c r="H7" s="83">
        <v>3</v>
      </c>
    </row>
    <row r="8" spans="2:8" x14ac:dyDescent="0.25">
      <c r="B8" s="80"/>
      <c r="C8" s="81"/>
      <c r="D8" s="82"/>
      <c r="E8" s="83"/>
      <c r="F8" s="81"/>
      <c r="G8" s="82"/>
      <c r="H8" s="83"/>
    </row>
    <row r="9" spans="2:8" x14ac:dyDescent="0.25">
      <c r="B9" s="80" t="s">
        <v>1</v>
      </c>
      <c r="C9" s="37">
        <f>C4/C7*100</f>
        <v>100</v>
      </c>
      <c r="D9" s="22">
        <f t="shared" ref="D9:H9" si="0">D4/D7*100</f>
        <v>100</v>
      </c>
      <c r="E9" s="23">
        <f t="shared" si="0"/>
        <v>100</v>
      </c>
      <c r="F9" s="37">
        <f t="shared" si="0"/>
        <v>50</v>
      </c>
      <c r="G9" s="86">
        <f t="shared" si="0"/>
        <v>33.333333333333329</v>
      </c>
      <c r="H9" s="89">
        <f t="shared" si="0"/>
        <v>33.333333333333329</v>
      </c>
    </row>
    <row r="10" spans="2:8" x14ac:dyDescent="0.25">
      <c r="B10" s="80" t="s">
        <v>2</v>
      </c>
      <c r="C10" s="84">
        <f>C5/C7*100</f>
        <v>0</v>
      </c>
      <c r="D10" s="86">
        <f t="shared" ref="D10:H10" si="1">D5/D7*100</f>
        <v>0</v>
      </c>
      <c r="E10" s="89">
        <f t="shared" si="1"/>
        <v>0</v>
      </c>
      <c r="F10" s="84">
        <f t="shared" si="1"/>
        <v>0</v>
      </c>
      <c r="G10" s="86">
        <f t="shared" si="1"/>
        <v>33.333333333333329</v>
      </c>
      <c r="H10" s="89">
        <f t="shared" si="1"/>
        <v>0</v>
      </c>
    </row>
    <row r="11" spans="2:8" x14ac:dyDescent="0.25">
      <c r="B11" s="80" t="s">
        <v>3</v>
      </c>
      <c r="C11" s="90">
        <f>C6/C7*100</f>
        <v>0</v>
      </c>
      <c r="D11" s="91">
        <f t="shared" ref="D11:H11" si="2">D6/D7*100</f>
        <v>0</v>
      </c>
      <c r="E11" s="92">
        <f t="shared" si="2"/>
        <v>0</v>
      </c>
      <c r="F11" s="90">
        <f t="shared" si="2"/>
        <v>0</v>
      </c>
      <c r="G11" s="91">
        <f t="shared" si="2"/>
        <v>33.333333333333329</v>
      </c>
      <c r="H11" s="109">
        <f t="shared" si="2"/>
        <v>66.666666666666657</v>
      </c>
    </row>
    <row r="12" spans="2:8" x14ac:dyDescent="0.25">
      <c r="B12" s="80"/>
      <c r="C12" s="80"/>
      <c r="D12" s="80"/>
      <c r="E12" s="80"/>
      <c r="F12" s="80"/>
      <c r="G12" s="80"/>
      <c r="H12" s="80"/>
    </row>
    <row r="13" spans="2:8" x14ac:dyDescent="0.25">
      <c r="B13" s="80"/>
      <c r="C13" s="80"/>
      <c r="D13" s="80"/>
      <c r="E13" s="80"/>
      <c r="F13" s="80"/>
      <c r="G13" s="80"/>
      <c r="H13" s="80"/>
    </row>
    <row r="14" spans="2:8" x14ac:dyDescent="0.25">
      <c r="B14" s="80"/>
      <c r="C14" s="80"/>
      <c r="D14" s="80"/>
      <c r="E14" s="80"/>
      <c r="F14" s="80"/>
      <c r="G14" s="80"/>
      <c r="H14" s="80"/>
    </row>
    <row r="15" spans="2:8" x14ac:dyDescent="0.25">
      <c r="B15" s="80" t="s">
        <v>29</v>
      </c>
      <c r="C15" s="80" t="s">
        <v>8</v>
      </c>
      <c r="D15" s="80" t="s">
        <v>9</v>
      </c>
      <c r="E15" s="80" t="s">
        <v>10</v>
      </c>
      <c r="F15" s="80"/>
      <c r="G15" s="80"/>
      <c r="H15" s="80"/>
    </row>
    <row r="16" spans="2:8" x14ac:dyDescent="0.25">
      <c r="B16" s="80" t="s">
        <v>5</v>
      </c>
      <c r="C16" s="80">
        <f>COUNT(C4:N4)</f>
        <v>6</v>
      </c>
      <c r="D16" s="80"/>
      <c r="E16" s="80"/>
      <c r="F16" s="80"/>
      <c r="G16" s="80"/>
      <c r="H16" s="80"/>
    </row>
    <row r="17" spans="2:9" x14ac:dyDescent="0.25">
      <c r="B17" s="80" t="s">
        <v>6</v>
      </c>
      <c r="C17" s="80">
        <v>0</v>
      </c>
      <c r="D17" s="80">
        <f>C17/C16</f>
        <v>0</v>
      </c>
      <c r="E17" s="80">
        <f>SQRT((D17*(1-D17))/$C$16)</f>
        <v>0</v>
      </c>
      <c r="F17" s="80"/>
      <c r="G17" s="80"/>
      <c r="H17" s="80"/>
    </row>
    <row r="18" spans="2:9" x14ac:dyDescent="0.25">
      <c r="B18" s="80" t="s">
        <v>7</v>
      </c>
      <c r="C18" s="80">
        <v>4</v>
      </c>
      <c r="D18" s="80">
        <f>C18/C16</f>
        <v>0.66666666666666663</v>
      </c>
      <c r="E18" s="80">
        <f>SQRT((D18*(1-D18))/$C$16)</f>
        <v>0.19245008972987526</v>
      </c>
      <c r="F18" s="80"/>
      <c r="G18" s="80"/>
      <c r="H18" s="80"/>
    </row>
    <row r="21" spans="2:9" x14ac:dyDescent="0.25">
      <c r="B21" s="55" t="s">
        <v>28</v>
      </c>
      <c r="C21" s="56" t="s">
        <v>14</v>
      </c>
      <c r="D21" s="59"/>
      <c r="E21" s="58"/>
      <c r="F21" s="59" t="s">
        <v>15</v>
      </c>
      <c r="G21" s="59"/>
      <c r="H21" s="59"/>
      <c r="I21" s="104"/>
    </row>
    <row r="22" spans="2:9" x14ac:dyDescent="0.25">
      <c r="B22" s="61" t="s">
        <v>1</v>
      </c>
      <c r="C22" s="62">
        <v>0</v>
      </c>
      <c r="D22" s="63">
        <v>2</v>
      </c>
      <c r="E22" s="64">
        <v>0</v>
      </c>
      <c r="F22" s="63">
        <v>2</v>
      </c>
      <c r="G22" s="63">
        <v>2</v>
      </c>
      <c r="H22" s="63">
        <v>1</v>
      </c>
      <c r="I22" s="64">
        <v>1</v>
      </c>
    </row>
    <row r="23" spans="2:9" x14ac:dyDescent="0.25">
      <c r="B23" s="61" t="s">
        <v>2</v>
      </c>
      <c r="C23" s="62">
        <v>0</v>
      </c>
      <c r="D23" s="63">
        <v>2</v>
      </c>
      <c r="E23" s="64">
        <v>0</v>
      </c>
      <c r="F23" s="63">
        <v>0</v>
      </c>
      <c r="G23" s="63">
        <v>0</v>
      </c>
      <c r="H23" s="63">
        <v>0</v>
      </c>
      <c r="I23" s="64">
        <v>0</v>
      </c>
    </row>
    <row r="24" spans="2:9" x14ac:dyDescent="0.25">
      <c r="B24" s="61" t="s">
        <v>3</v>
      </c>
      <c r="C24" s="62">
        <v>4</v>
      </c>
      <c r="D24" s="63">
        <v>0</v>
      </c>
      <c r="E24" s="64">
        <v>1</v>
      </c>
      <c r="F24" s="63">
        <v>0</v>
      </c>
      <c r="G24" s="63">
        <v>0</v>
      </c>
      <c r="H24" s="63">
        <v>0</v>
      </c>
      <c r="I24" s="64">
        <v>0</v>
      </c>
    </row>
    <row r="25" spans="2:9" x14ac:dyDescent="0.25">
      <c r="B25" s="61" t="s">
        <v>4</v>
      </c>
      <c r="C25" s="62">
        <v>4</v>
      </c>
      <c r="D25" s="63">
        <v>6</v>
      </c>
      <c r="E25" s="64">
        <v>3</v>
      </c>
      <c r="F25" s="63">
        <v>3</v>
      </c>
      <c r="G25" s="63">
        <v>2</v>
      </c>
      <c r="H25" s="63">
        <v>2</v>
      </c>
      <c r="I25" s="64">
        <v>2</v>
      </c>
    </row>
    <row r="26" spans="2:9" x14ac:dyDescent="0.25">
      <c r="B26" s="61"/>
      <c r="C26" s="62"/>
      <c r="D26" s="63"/>
      <c r="E26" s="64"/>
      <c r="F26" s="63"/>
      <c r="G26" s="63"/>
      <c r="H26" s="63"/>
      <c r="I26" s="64"/>
    </row>
    <row r="27" spans="2:9" x14ac:dyDescent="0.25">
      <c r="B27" s="61" t="s">
        <v>1</v>
      </c>
      <c r="C27" s="69">
        <f>C22/C25*100</f>
        <v>0</v>
      </c>
      <c r="D27" s="66">
        <f>D22/D25*100</f>
        <v>33.333333333333329</v>
      </c>
      <c r="E27" s="96">
        <f t="shared" ref="E27:F27" si="3">E22/E25*100</f>
        <v>0</v>
      </c>
      <c r="F27" s="22">
        <f t="shared" si="3"/>
        <v>66.666666666666657</v>
      </c>
      <c r="G27" s="22">
        <f>G22/G25*100</f>
        <v>100</v>
      </c>
      <c r="H27" s="22">
        <f>H22/H25*100</f>
        <v>50</v>
      </c>
      <c r="I27" s="23">
        <f>I22/I25*100</f>
        <v>50</v>
      </c>
    </row>
    <row r="28" spans="2:9" x14ac:dyDescent="0.25">
      <c r="B28" s="61" t="s">
        <v>2</v>
      </c>
      <c r="C28" s="69">
        <f>C23/C25*100</f>
        <v>0</v>
      </c>
      <c r="D28" s="66">
        <f>D23/D25*100</f>
        <v>33.333333333333329</v>
      </c>
      <c r="E28" s="96">
        <f t="shared" ref="E28:F28" si="4">E23/E25*100</f>
        <v>0</v>
      </c>
      <c r="F28" s="66">
        <f t="shared" si="4"/>
        <v>0</v>
      </c>
      <c r="G28" s="66">
        <f>G23/G25*100</f>
        <v>0</v>
      </c>
      <c r="H28" s="66">
        <f>H23/H25*100</f>
        <v>0</v>
      </c>
      <c r="I28" s="67">
        <f>I23/I25*100</f>
        <v>0</v>
      </c>
    </row>
    <row r="29" spans="2:9" x14ac:dyDescent="0.25">
      <c r="B29" s="61" t="s">
        <v>3</v>
      </c>
      <c r="C29" s="36">
        <f>C24/C25*100</f>
        <v>100</v>
      </c>
      <c r="D29" s="74">
        <f>D24/D25*100</f>
        <v>0</v>
      </c>
      <c r="E29" s="114">
        <f t="shared" ref="E29:F29" si="5">E24/E25*100</f>
        <v>33.333333333333329</v>
      </c>
      <c r="F29" s="74">
        <f t="shared" si="5"/>
        <v>0</v>
      </c>
      <c r="G29" s="74">
        <f>G24/G25*100</f>
        <v>0</v>
      </c>
      <c r="H29" s="74">
        <f>H24/H25*100</f>
        <v>0</v>
      </c>
      <c r="I29" s="73">
        <f>I24/I25*100</f>
        <v>0</v>
      </c>
    </row>
    <row r="30" spans="2:9" x14ac:dyDescent="0.25">
      <c r="B30" s="61"/>
      <c r="C30" s="61"/>
      <c r="D30" s="61"/>
      <c r="E30" s="61"/>
      <c r="F30" s="61"/>
      <c r="G30" s="61"/>
      <c r="H30" s="61"/>
      <c r="I30" s="61"/>
    </row>
    <row r="31" spans="2:9" x14ac:dyDescent="0.25">
      <c r="B31" s="61"/>
      <c r="C31" s="61"/>
      <c r="D31" s="61"/>
      <c r="E31" s="61"/>
      <c r="F31" s="61"/>
      <c r="G31" s="61"/>
      <c r="H31" s="61"/>
      <c r="I31" s="61"/>
    </row>
    <row r="32" spans="2:9" x14ac:dyDescent="0.25">
      <c r="B32" s="61"/>
      <c r="C32" s="61"/>
      <c r="D32" s="61"/>
      <c r="E32" s="61"/>
      <c r="F32" s="61"/>
      <c r="G32" s="61"/>
      <c r="H32" s="61"/>
      <c r="I32" s="61"/>
    </row>
    <row r="33" spans="2:9" x14ac:dyDescent="0.25">
      <c r="B33" s="61" t="s">
        <v>30</v>
      </c>
      <c r="C33" s="61" t="s">
        <v>8</v>
      </c>
      <c r="D33" s="61" t="s">
        <v>9</v>
      </c>
      <c r="E33" s="61" t="s">
        <v>10</v>
      </c>
      <c r="F33" s="61"/>
      <c r="G33" s="61"/>
      <c r="H33" s="61"/>
      <c r="I33" s="61"/>
    </row>
    <row r="34" spans="2:9" x14ac:dyDescent="0.25">
      <c r="B34" s="61" t="s">
        <v>5</v>
      </c>
      <c r="C34" s="61">
        <f>COUNT(C22:N22)</f>
        <v>7</v>
      </c>
      <c r="D34" s="61"/>
      <c r="E34" s="61"/>
      <c r="F34" s="61"/>
      <c r="G34" s="61"/>
      <c r="H34" s="61"/>
      <c r="I34" s="61"/>
    </row>
    <row r="35" spans="2:9" x14ac:dyDescent="0.25">
      <c r="B35" s="61" t="s">
        <v>6</v>
      </c>
      <c r="C35" s="61">
        <v>2</v>
      </c>
      <c r="D35" s="61">
        <f>C35/C34</f>
        <v>0.2857142857142857</v>
      </c>
      <c r="E35" s="61">
        <f>SQRT((D35*(1-D35))/$C$34)</f>
        <v>0.17074694419062766</v>
      </c>
      <c r="F35" s="61"/>
      <c r="G35" s="61"/>
      <c r="H35" s="61"/>
      <c r="I35" s="61"/>
    </row>
    <row r="36" spans="2:9" x14ac:dyDescent="0.25">
      <c r="B36" s="61" t="s">
        <v>7</v>
      </c>
      <c r="C36" s="61">
        <v>4</v>
      </c>
      <c r="D36" s="61">
        <f>C36/C34</f>
        <v>0.5714285714285714</v>
      </c>
      <c r="E36" s="61">
        <f>SQRT((D36*(1-D36))/$C$34)</f>
        <v>0.18704390591656489</v>
      </c>
      <c r="F36" s="61"/>
      <c r="G36" s="61"/>
      <c r="H36" s="61"/>
      <c r="I36" s="61"/>
    </row>
    <row r="39" spans="2:9" x14ac:dyDescent="0.25">
      <c r="B39" s="75" t="s">
        <v>28</v>
      </c>
      <c r="C39" s="98" t="s">
        <v>32</v>
      </c>
      <c r="D39" s="77"/>
      <c r="E39" s="99"/>
      <c r="F39" s="77"/>
      <c r="G39" s="99"/>
      <c r="H39" s="78"/>
    </row>
    <row r="40" spans="2:9" x14ac:dyDescent="0.25">
      <c r="B40" s="80" t="s">
        <v>1</v>
      </c>
      <c r="C40" s="81">
        <v>2</v>
      </c>
      <c r="D40" s="82">
        <v>2</v>
      </c>
      <c r="E40" s="82">
        <v>0</v>
      </c>
      <c r="F40" s="82">
        <v>1</v>
      </c>
      <c r="G40" s="82">
        <v>1</v>
      </c>
      <c r="H40" s="83">
        <v>1</v>
      </c>
    </row>
    <row r="41" spans="2:9" x14ac:dyDescent="0.25">
      <c r="B41" s="80" t="s">
        <v>2</v>
      </c>
      <c r="C41" s="81">
        <v>0</v>
      </c>
      <c r="D41" s="82">
        <v>0</v>
      </c>
      <c r="E41" s="82">
        <v>0</v>
      </c>
      <c r="F41" s="82">
        <v>2</v>
      </c>
      <c r="G41" s="82">
        <v>1</v>
      </c>
      <c r="H41" s="83">
        <v>0</v>
      </c>
    </row>
    <row r="42" spans="2:9" x14ac:dyDescent="0.25">
      <c r="B42" s="80" t="s">
        <v>3</v>
      </c>
      <c r="C42" s="81">
        <v>0</v>
      </c>
      <c r="D42" s="82">
        <v>1</v>
      </c>
      <c r="E42" s="82">
        <v>2</v>
      </c>
      <c r="F42" s="82">
        <v>1</v>
      </c>
      <c r="G42" s="82">
        <v>0</v>
      </c>
      <c r="H42" s="83">
        <v>1</v>
      </c>
    </row>
    <row r="43" spans="2:9" x14ac:dyDescent="0.25">
      <c r="B43" s="80" t="s">
        <v>4</v>
      </c>
      <c r="C43" s="81">
        <v>4</v>
      </c>
      <c r="D43" s="82">
        <v>3</v>
      </c>
      <c r="E43" s="82">
        <v>2</v>
      </c>
      <c r="F43" s="82">
        <v>4</v>
      </c>
      <c r="G43" s="82">
        <v>2</v>
      </c>
      <c r="H43" s="83">
        <v>2</v>
      </c>
    </row>
    <row r="44" spans="2:9" x14ac:dyDescent="0.25">
      <c r="B44" s="80"/>
      <c r="C44" s="81"/>
      <c r="D44" s="82"/>
      <c r="E44" s="82"/>
      <c r="F44" s="82"/>
      <c r="G44" s="82"/>
      <c r="H44" s="83"/>
    </row>
    <row r="45" spans="2:9" x14ac:dyDescent="0.25">
      <c r="B45" s="80" t="s">
        <v>1</v>
      </c>
      <c r="C45" s="37">
        <f t="shared" ref="C45:F45" si="6">C40/C43*100</f>
        <v>50</v>
      </c>
      <c r="D45" s="85">
        <f t="shared" si="6"/>
        <v>66.666666666666657</v>
      </c>
      <c r="E45" s="86">
        <f t="shared" si="6"/>
        <v>0</v>
      </c>
      <c r="F45" s="86">
        <f t="shared" si="6"/>
        <v>25</v>
      </c>
      <c r="G45" s="86">
        <f>G40/G43*100</f>
        <v>50</v>
      </c>
      <c r="H45" s="89">
        <f>H40/H43*100</f>
        <v>50</v>
      </c>
    </row>
    <row r="46" spans="2:9" x14ac:dyDescent="0.25">
      <c r="B46" s="80" t="s">
        <v>2</v>
      </c>
      <c r="C46" s="84">
        <f t="shared" ref="C46:F46" si="7">C41/C43*100</f>
        <v>0</v>
      </c>
      <c r="D46" s="86">
        <f t="shared" si="7"/>
        <v>0</v>
      </c>
      <c r="E46" s="86">
        <f t="shared" si="7"/>
        <v>0</v>
      </c>
      <c r="F46" s="85">
        <f t="shared" si="7"/>
        <v>50</v>
      </c>
      <c r="G46" s="86">
        <f>G41/G43*100</f>
        <v>50</v>
      </c>
      <c r="H46" s="89">
        <f>H41/H43*100</f>
        <v>0</v>
      </c>
    </row>
    <row r="47" spans="2:9" x14ac:dyDescent="0.25">
      <c r="B47" s="80" t="s">
        <v>3</v>
      </c>
      <c r="C47" s="90">
        <f t="shared" ref="C47:F47" si="8">C42/C43*100</f>
        <v>0</v>
      </c>
      <c r="D47" s="91">
        <f t="shared" si="8"/>
        <v>33.333333333333329</v>
      </c>
      <c r="E47" s="94">
        <f t="shared" si="8"/>
        <v>100</v>
      </c>
      <c r="F47" s="91">
        <f t="shared" si="8"/>
        <v>25</v>
      </c>
      <c r="G47" s="91">
        <f>G42/G43*100</f>
        <v>0</v>
      </c>
      <c r="H47" s="92">
        <f>H42/H43*100</f>
        <v>50</v>
      </c>
    </row>
    <row r="48" spans="2:9" x14ac:dyDescent="0.25">
      <c r="B48" s="80"/>
      <c r="C48" s="80"/>
      <c r="D48" s="80"/>
      <c r="E48" s="80"/>
      <c r="F48" s="80"/>
      <c r="G48" s="80"/>
      <c r="H48" s="80"/>
    </row>
    <row r="49" spans="2:8" x14ac:dyDescent="0.25">
      <c r="B49" s="80"/>
      <c r="C49" s="80"/>
      <c r="D49" s="80"/>
      <c r="E49" s="80"/>
      <c r="F49" s="80"/>
      <c r="G49" s="80"/>
      <c r="H49" s="80"/>
    </row>
    <row r="50" spans="2:8" x14ac:dyDescent="0.25">
      <c r="B50" s="80"/>
      <c r="C50" s="80"/>
      <c r="D50" s="80"/>
      <c r="E50" s="80"/>
      <c r="F50" s="80"/>
      <c r="G50" s="80"/>
      <c r="H50" s="80"/>
    </row>
    <row r="51" spans="2:8" x14ac:dyDescent="0.25">
      <c r="B51" s="80" t="s">
        <v>34</v>
      </c>
      <c r="C51" s="80" t="s">
        <v>8</v>
      </c>
      <c r="D51" s="80" t="s">
        <v>9</v>
      </c>
      <c r="E51" s="80" t="s">
        <v>10</v>
      </c>
      <c r="F51" s="80"/>
      <c r="G51" s="80"/>
      <c r="H51" s="80"/>
    </row>
    <row r="52" spans="2:8" x14ac:dyDescent="0.25">
      <c r="B52" s="80" t="s">
        <v>5</v>
      </c>
      <c r="C52" s="80">
        <f>COUNT(C40:N40)</f>
        <v>6</v>
      </c>
      <c r="D52" s="80"/>
      <c r="E52" s="80"/>
      <c r="F52" s="80"/>
      <c r="G52" s="80"/>
      <c r="H52" s="80"/>
    </row>
    <row r="53" spans="2:8" x14ac:dyDescent="0.25">
      <c r="B53" s="80" t="s">
        <v>6</v>
      </c>
      <c r="C53" s="80">
        <v>1</v>
      </c>
      <c r="D53" s="80">
        <f>C53/C52</f>
        <v>0.16666666666666666</v>
      </c>
      <c r="E53" s="80">
        <f>SQRT((D53*(1-D53))/$C$52)</f>
        <v>0.15214515486254615</v>
      </c>
      <c r="F53" s="80"/>
      <c r="G53" s="80"/>
      <c r="H53" s="80"/>
    </row>
    <row r="54" spans="2:8" x14ac:dyDescent="0.25">
      <c r="B54" s="80" t="s">
        <v>7</v>
      </c>
      <c r="C54" s="80">
        <v>1</v>
      </c>
      <c r="D54" s="80">
        <f>C54/C52</f>
        <v>0.16666666666666666</v>
      </c>
      <c r="E54" s="80">
        <f>SQRT((D54*(1-D54))/$C$52)</f>
        <v>0.15214515486254615</v>
      </c>
      <c r="F54" s="80"/>
      <c r="G54" s="80"/>
      <c r="H54" s="80"/>
    </row>
    <row r="57" spans="2:8" x14ac:dyDescent="0.25">
      <c r="B57" s="55" t="s">
        <v>28</v>
      </c>
      <c r="C57" s="95" t="s">
        <v>31</v>
      </c>
      <c r="D57" s="59"/>
      <c r="E57" s="104"/>
    </row>
    <row r="58" spans="2:8" x14ac:dyDescent="0.25">
      <c r="B58" s="61" t="s">
        <v>1</v>
      </c>
      <c r="C58" s="62">
        <v>2</v>
      </c>
      <c r="D58" s="63">
        <v>1</v>
      </c>
      <c r="E58" s="64">
        <v>1</v>
      </c>
    </row>
    <row r="59" spans="2:8" x14ac:dyDescent="0.25">
      <c r="B59" s="61" t="s">
        <v>2</v>
      </c>
      <c r="C59" s="62">
        <v>0</v>
      </c>
      <c r="D59" s="63">
        <v>0</v>
      </c>
      <c r="E59" s="64">
        <v>0</v>
      </c>
    </row>
    <row r="60" spans="2:8" x14ac:dyDescent="0.25">
      <c r="B60" s="61" t="s">
        <v>3</v>
      </c>
      <c r="C60" s="62">
        <v>0</v>
      </c>
      <c r="D60" s="63">
        <v>0</v>
      </c>
      <c r="E60" s="64">
        <v>0</v>
      </c>
    </row>
    <row r="61" spans="2:8" x14ac:dyDescent="0.25">
      <c r="B61" s="61" t="s">
        <v>4</v>
      </c>
      <c r="C61" s="62">
        <v>5</v>
      </c>
      <c r="D61" s="63">
        <v>2</v>
      </c>
      <c r="E61" s="64">
        <v>6</v>
      </c>
    </row>
    <row r="62" spans="2:8" x14ac:dyDescent="0.25">
      <c r="B62" s="61"/>
      <c r="C62" s="62"/>
      <c r="D62" s="63"/>
      <c r="E62" s="64"/>
    </row>
    <row r="63" spans="2:8" x14ac:dyDescent="0.25">
      <c r="B63" s="61" t="s">
        <v>1</v>
      </c>
      <c r="C63" s="37">
        <f>C58/C61*100</f>
        <v>40</v>
      </c>
      <c r="D63" s="111">
        <f>D58/D61*100</f>
        <v>50</v>
      </c>
      <c r="E63" s="113">
        <f>E58/E61*100</f>
        <v>16.666666666666664</v>
      </c>
    </row>
    <row r="64" spans="2:8" x14ac:dyDescent="0.25">
      <c r="B64" s="61" t="s">
        <v>2</v>
      </c>
      <c r="C64" s="69">
        <f>C59/C61*100</f>
        <v>0</v>
      </c>
      <c r="D64" s="63">
        <f>D59/D61*100</f>
        <v>0</v>
      </c>
      <c r="E64" s="64">
        <f>E59/E61*100</f>
        <v>0</v>
      </c>
    </row>
    <row r="65" spans="2:5" x14ac:dyDescent="0.25">
      <c r="B65" s="61" t="s">
        <v>3</v>
      </c>
      <c r="C65" s="71">
        <f>C60/C61*100</f>
        <v>0</v>
      </c>
      <c r="D65" s="117">
        <f>D60/D61*100</f>
        <v>0</v>
      </c>
      <c r="E65" s="118">
        <f>E60/E61*100</f>
        <v>0</v>
      </c>
    </row>
    <row r="66" spans="2:5" x14ac:dyDescent="0.25">
      <c r="B66" s="61"/>
      <c r="C66" s="61"/>
      <c r="D66" s="61"/>
      <c r="E66" s="61"/>
    </row>
    <row r="67" spans="2:5" x14ac:dyDescent="0.25">
      <c r="B67" s="61"/>
      <c r="C67" s="61"/>
      <c r="D67" s="61"/>
      <c r="E67" s="61"/>
    </row>
    <row r="68" spans="2:5" x14ac:dyDescent="0.25">
      <c r="B68" s="61"/>
      <c r="C68" s="61"/>
      <c r="D68" s="61"/>
      <c r="E68" s="61"/>
    </row>
    <row r="69" spans="2:5" x14ac:dyDescent="0.25">
      <c r="B69" s="61" t="s">
        <v>35</v>
      </c>
      <c r="C69" s="61" t="s">
        <v>8</v>
      </c>
      <c r="D69" s="61" t="s">
        <v>9</v>
      </c>
      <c r="E69" s="61" t="s">
        <v>10</v>
      </c>
    </row>
    <row r="70" spans="2:5" x14ac:dyDescent="0.25">
      <c r="B70" s="61" t="s">
        <v>5</v>
      </c>
      <c r="C70" s="61">
        <f>COUNT(C58:K58)</f>
        <v>3</v>
      </c>
      <c r="D70" s="61"/>
      <c r="E70" s="61"/>
    </row>
    <row r="71" spans="2:5" x14ac:dyDescent="0.25">
      <c r="B71" s="61" t="s">
        <v>6</v>
      </c>
      <c r="C71" s="61">
        <v>0</v>
      </c>
      <c r="D71" s="61">
        <f>C71/C70</f>
        <v>0</v>
      </c>
      <c r="E71" s="61">
        <f>SQRT((D71*(1-D71))/$C$70)</f>
        <v>0</v>
      </c>
    </row>
    <row r="72" spans="2:5" x14ac:dyDescent="0.25">
      <c r="B72" s="61" t="s">
        <v>7</v>
      </c>
      <c r="C72" s="61">
        <v>3</v>
      </c>
      <c r="D72" s="61">
        <f>C72/C70</f>
        <v>1</v>
      </c>
      <c r="E72" s="61">
        <f>SQRT((D72*(1-D72))/$C$70)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4"/>
  <sheetViews>
    <sheetView workbookViewId="0">
      <selection activeCell="C3" sqref="C3:F6"/>
    </sheetView>
  </sheetViews>
  <sheetFormatPr defaultRowHeight="15" x14ac:dyDescent="0.25"/>
  <cols>
    <col min="3" max="3" width="19.7109375" customWidth="1"/>
    <col min="8" max="8" width="16.42578125" customWidth="1"/>
    <col min="13" max="13" width="17.5703125" customWidth="1"/>
  </cols>
  <sheetData>
    <row r="2" spans="3:16" x14ac:dyDescent="0.25">
      <c r="C2" s="120" t="s">
        <v>12</v>
      </c>
      <c r="D2" s="121"/>
      <c r="E2" s="121"/>
      <c r="F2" s="122"/>
      <c r="H2" s="120" t="s">
        <v>20</v>
      </c>
      <c r="I2" s="121"/>
      <c r="J2" s="121"/>
      <c r="K2" s="122"/>
      <c r="M2" s="120" t="s">
        <v>28</v>
      </c>
      <c r="N2" s="121"/>
      <c r="O2" s="121"/>
      <c r="P2" s="122"/>
    </row>
    <row r="3" spans="3:16" x14ac:dyDescent="0.25">
      <c r="C3" s="4" t="s">
        <v>13</v>
      </c>
      <c r="D3" s="5" t="s">
        <v>8</v>
      </c>
      <c r="E3" s="5" t="s">
        <v>9</v>
      </c>
      <c r="F3" s="6" t="s">
        <v>10</v>
      </c>
      <c r="H3" s="4" t="s">
        <v>21</v>
      </c>
      <c r="I3" s="5" t="s">
        <v>8</v>
      </c>
      <c r="J3" s="5" t="s">
        <v>9</v>
      </c>
      <c r="K3" s="6" t="s">
        <v>10</v>
      </c>
      <c r="M3" s="4" t="s">
        <v>29</v>
      </c>
      <c r="N3" s="5" t="s">
        <v>8</v>
      </c>
      <c r="O3" s="5" t="s">
        <v>9</v>
      </c>
      <c r="P3" s="6" t="s">
        <v>10</v>
      </c>
    </row>
    <row r="4" spans="3:16" x14ac:dyDescent="0.25">
      <c r="C4" s="4" t="s">
        <v>5</v>
      </c>
      <c r="D4" s="5">
        <v>12</v>
      </c>
      <c r="E4" s="5"/>
      <c r="F4" s="6"/>
      <c r="H4" s="4" t="s">
        <v>5</v>
      </c>
      <c r="I4" s="5">
        <v>6</v>
      </c>
      <c r="J4" s="5"/>
      <c r="K4" s="6"/>
      <c r="M4" s="4" t="s">
        <v>5</v>
      </c>
      <c r="N4" s="5">
        <v>6</v>
      </c>
      <c r="O4" s="5"/>
      <c r="P4" s="6"/>
    </row>
    <row r="5" spans="3:16" x14ac:dyDescent="0.25">
      <c r="C5" s="4" t="s">
        <v>6</v>
      </c>
      <c r="D5" s="5">
        <v>1</v>
      </c>
      <c r="E5" s="5">
        <v>8.3333333333333329E-2</v>
      </c>
      <c r="F5" s="6">
        <v>7.9785592313028175E-2</v>
      </c>
      <c r="H5" s="4" t="s">
        <v>6</v>
      </c>
      <c r="I5" s="5">
        <v>0</v>
      </c>
      <c r="J5" s="5">
        <v>0</v>
      </c>
      <c r="K5" s="6">
        <v>0</v>
      </c>
      <c r="M5" s="4" t="s">
        <v>6</v>
      </c>
      <c r="N5" s="5">
        <v>0</v>
      </c>
      <c r="O5" s="5">
        <v>0</v>
      </c>
      <c r="P5" s="6">
        <v>0</v>
      </c>
    </row>
    <row r="6" spans="3:16" x14ac:dyDescent="0.25">
      <c r="C6" s="4" t="s">
        <v>7</v>
      </c>
      <c r="D6" s="5">
        <v>3</v>
      </c>
      <c r="E6" s="5">
        <v>0.25</v>
      </c>
      <c r="F6" s="6">
        <v>0.125</v>
      </c>
      <c r="H6" s="4" t="s">
        <v>7</v>
      </c>
      <c r="I6" s="5">
        <v>1</v>
      </c>
      <c r="J6" s="5">
        <v>0.16666666666666666</v>
      </c>
      <c r="K6" s="6">
        <v>0.15214515486254615</v>
      </c>
      <c r="M6" s="4" t="s">
        <v>7</v>
      </c>
      <c r="N6" s="5">
        <v>4</v>
      </c>
      <c r="O6" s="5">
        <v>0.66666666666666663</v>
      </c>
      <c r="P6" s="6">
        <v>0.19245008972987526</v>
      </c>
    </row>
    <row r="7" spans="3:16" x14ac:dyDescent="0.25">
      <c r="C7" s="4"/>
      <c r="D7" s="5"/>
      <c r="E7" s="5"/>
      <c r="F7" s="6"/>
      <c r="H7" s="4"/>
      <c r="I7" s="5"/>
      <c r="J7" s="5"/>
      <c r="K7" s="6"/>
      <c r="M7" s="4"/>
      <c r="N7" s="5"/>
      <c r="O7" s="5"/>
      <c r="P7" s="6"/>
    </row>
    <row r="8" spans="3:16" x14ac:dyDescent="0.25">
      <c r="C8" s="4"/>
      <c r="D8" s="5"/>
      <c r="E8" s="5"/>
      <c r="F8" s="6"/>
      <c r="H8" s="4"/>
      <c r="I8" s="5"/>
      <c r="J8" s="5"/>
      <c r="K8" s="6"/>
      <c r="M8" s="4"/>
      <c r="N8" s="5"/>
      <c r="O8" s="5"/>
      <c r="P8" s="6"/>
    </row>
    <row r="9" spans="3:16" x14ac:dyDescent="0.25">
      <c r="C9" s="4" t="s">
        <v>16</v>
      </c>
      <c r="D9" s="5" t="s">
        <v>8</v>
      </c>
      <c r="E9" s="5" t="s">
        <v>9</v>
      </c>
      <c r="F9" s="6" t="s">
        <v>10</v>
      </c>
      <c r="H9" s="4" t="s">
        <v>23</v>
      </c>
      <c r="I9" s="5" t="s">
        <v>8</v>
      </c>
      <c r="J9" s="5" t="s">
        <v>9</v>
      </c>
      <c r="K9" s="6" t="s">
        <v>10</v>
      </c>
      <c r="M9" s="4" t="s">
        <v>30</v>
      </c>
      <c r="N9" s="5" t="s">
        <v>8</v>
      </c>
      <c r="O9" s="5" t="s">
        <v>9</v>
      </c>
      <c r="P9" s="6" t="s">
        <v>10</v>
      </c>
    </row>
    <row r="10" spans="3:16" x14ac:dyDescent="0.25">
      <c r="C10" s="4" t="s">
        <v>5</v>
      </c>
      <c r="D10" s="5">
        <v>12</v>
      </c>
      <c r="E10" s="5"/>
      <c r="F10" s="6"/>
      <c r="H10" s="4" t="s">
        <v>5</v>
      </c>
      <c r="I10" s="5">
        <v>9</v>
      </c>
      <c r="J10" s="5"/>
      <c r="K10" s="6"/>
      <c r="M10" s="4" t="s">
        <v>5</v>
      </c>
      <c r="N10" s="5">
        <v>7</v>
      </c>
      <c r="O10" s="5"/>
      <c r="P10" s="6"/>
    </row>
    <row r="11" spans="3:16" x14ac:dyDescent="0.25">
      <c r="C11" s="4" t="s">
        <v>6</v>
      </c>
      <c r="D11" s="5">
        <v>0</v>
      </c>
      <c r="E11" s="5">
        <v>0</v>
      </c>
      <c r="F11" s="6">
        <v>0</v>
      </c>
      <c r="H11" s="4" t="s">
        <v>6</v>
      </c>
      <c r="I11" s="5">
        <v>0</v>
      </c>
      <c r="J11" s="5">
        <v>0</v>
      </c>
      <c r="K11" s="6">
        <v>0</v>
      </c>
      <c r="M11" s="4" t="s">
        <v>6</v>
      </c>
      <c r="N11" s="5">
        <v>2</v>
      </c>
      <c r="O11" s="5">
        <v>0.2857142857142857</v>
      </c>
      <c r="P11" s="6">
        <v>0.17074694419062766</v>
      </c>
    </row>
    <row r="12" spans="3:16" x14ac:dyDescent="0.25">
      <c r="C12" s="4" t="s">
        <v>7</v>
      </c>
      <c r="D12" s="5">
        <v>3</v>
      </c>
      <c r="E12" s="5">
        <v>0.25</v>
      </c>
      <c r="F12" s="6">
        <v>0.125</v>
      </c>
      <c r="H12" s="4" t="s">
        <v>7</v>
      </c>
      <c r="I12" s="5">
        <v>0</v>
      </c>
      <c r="J12" s="5">
        <v>0</v>
      </c>
      <c r="K12" s="6">
        <v>0</v>
      </c>
      <c r="M12" s="4" t="s">
        <v>7</v>
      </c>
      <c r="N12" s="5">
        <v>4</v>
      </c>
      <c r="O12" s="5">
        <v>0.5714285714285714</v>
      </c>
      <c r="P12" s="6">
        <v>0.18704390591656489</v>
      </c>
    </row>
    <row r="13" spans="3:16" x14ac:dyDescent="0.25">
      <c r="C13" s="4"/>
      <c r="D13" s="5"/>
      <c r="E13" s="5"/>
      <c r="F13" s="6"/>
      <c r="H13" s="4"/>
      <c r="I13" s="5"/>
      <c r="J13" s="5"/>
      <c r="K13" s="6"/>
      <c r="M13" s="4"/>
      <c r="N13" s="5"/>
      <c r="O13" s="5"/>
      <c r="P13" s="6"/>
    </row>
    <row r="14" spans="3:16" x14ac:dyDescent="0.25">
      <c r="C14" s="4"/>
      <c r="D14" s="5"/>
      <c r="E14" s="5"/>
      <c r="F14" s="6"/>
      <c r="H14" s="4"/>
      <c r="I14" s="5"/>
      <c r="J14" s="5"/>
      <c r="K14" s="6"/>
      <c r="M14" s="4"/>
      <c r="N14" s="5"/>
      <c r="O14" s="5"/>
      <c r="P14" s="6"/>
    </row>
    <row r="15" spans="3:16" x14ac:dyDescent="0.25">
      <c r="C15" s="4" t="s">
        <v>18</v>
      </c>
      <c r="D15" s="5" t="s">
        <v>8</v>
      </c>
      <c r="E15" s="5" t="s">
        <v>9</v>
      </c>
      <c r="F15" s="6" t="s">
        <v>10</v>
      </c>
      <c r="H15" s="4" t="s">
        <v>22</v>
      </c>
      <c r="I15" s="5" t="s">
        <v>8</v>
      </c>
      <c r="J15" s="5" t="s">
        <v>9</v>
      </c>
      <c r="K15" s="6" t="s">
        <v>10</v>
      </c>
      <c r="M15" s="4" t="s">
        <v>34</v>
      </c>
      <c r="N15" s="5" t="s">
        <v>8</v>
      </c>
      <c r="O15" s="5" t="s">
        <v>9</v>
      </c>
      <c r="P15" s="6" t="s">
        <v>10</v>
      </c>
    </row>
    <row r="16" spans="3:16" x14ac:dyDescent="0.25">
      <c r="C16" s="4" t="s">
        <v>5</v>
      </c>
      <c r="D16" s="5">
        <v>7</v>
      </c>
      <c r="E16" s="5"/>
      <c r="F16" s="6"/>
      <c r="H16" s="4" t="s">
        <v>5</v>
      </c>
      <c r="I16" s="5">
        <v>7</v>
      </c>
      <c r="J16" s="5"/>
      <c r="K16" s="6"/>
      <c r="M16" s="4" t="s">
        <v>5</v>
      </c>
      <c r="N16" s="5">
        <v>6</v>
      </c>
      <c r="O16" s="5"/>
      <c r="P16" s="6"/>
    </row>
    <row r="17" spans="3:16" x14ac:dyDescent="0.25">
      <c r="C17" s="4" t="s">
        <v>6</v>
      </c>
      <c r="D17" s="5">
        <v>0</v>
      </c>
      <c r="E17" s="5">
        <v>0</v>
      </c>
      <c r="F17" s="6">
        <v>0</v>
      </c>
      <c r="H17" s="4" t="s">
        <v>6</v>
      </c>
      <c r="I17" s="5">
        <v>0</v>
      </c>
      <c r="J17" s="5">
        <v>0</v>
      </c>
      <c r="K17" s="6">
        <v>0</v>
      </c>
      <c r="M17" s="4" t="s">
        <v>6</v>
      </c>
      <c r="N17" s="5">
        <v>1</v>
      </c>
      <c r="O17" s="5">
        <v>0.16666666666666666</v>
      </c>
      <c r="P17" s="6">
        <v>0.15214515486254615</v>
      </c>
    </row>
    <row r="18" spans="3:16" x14ac:dyDescent="0.25">
      <c r="C18" s="4" t="s">
        <v>7</v>
      </c>
      <c r="D18" s="5">
        <v>1</v>
      </c>
      <c r="E18" s="5">
        <v>0.14285714285714285</v>
      </c>
      <c r="F18" s="6">
        <v>0.13226001425322165</v>
      </c>
      <c r="H18" s="4" t="s">
        <v>7</v>
      </c>
      <c r="I18" s="5">
        <v>3</v>
      </c>
      <c r="J18" s="5">
        <v>0.42857142857142855</v>
      </c>
      <c r="K18" s="6">
        <v>0.18704390591656489</v>
      </c>
      <c r="M18" s="4" t="s">
        <v>7</v>
      </c>
      <c r="N18" s="5">
        <v>1</v>
      </c>
      <c r="O18" s="5">
        <v>0.16666666666666666</v>
      </c>
      <c r="P18" s="6">
        <v>0.15214515486254615</v>
      </c>
    </row>
    <row r="19" spans="3:16" x14ac:dyDescent="0.25">
      <c r="C19" s="4"/>
      <c r="D19" s="5"/>
      <c r="E19" s="5"/>
      <c r="F19" s="6"/>
      <c r="H19" s="4"/>
      <c r="I19" s="5"/>
      <c r="J19" s="5"/>
      <c r="K19" s="6"/>
      <c r="M19" s="4"/>
      <c r="N19" s="5"/>
      <c r="O19" s="5"/>
      <c r="P19" s="6"/>
    </row>
    <row r="20" spans="3:16" x14ac:dyDescent="0.25">
      <c r="C20" s="4"/>
      <c r="D20" s="5"/>
      <c r="E20" s="5"/>
      <c r="F20" s="6"/>
      <c r="H20" s="4"/>
      <c r="I20" s="5"/>
      <c r="J20" s="5"/>
      <c r="K20" s="6"/>
      <c r="M20" s="4"/>
      <c r="N20" s="5"/>
      <c r="O20" s="5"/>
      <c r="P20" s="6"/>
    </row>
    <row r="21" spans="3:16" x14ac:dyDescent="0.25">
      <c r="C21" s="4" t="s">
        <v>33</v>
      </c>
      <c r="D21" s="5" t="s">
        <v>8</v>
      </c>
      <c r="E21" s="5" t="s">
        <v>9</v>
      </c>
      <c r="F21" s="6" t="s">
        <v>10</v>
      </c>
      <c r="H21" s="4" t="s">
        <v>27</v>
      </c>
      <c r="I21" s="5" t="s">
        <v>8</v>
      </c>
      <c r="J21" s="5" t="s">
        <v>9</v>
      </c>
      <c r="K21" s="6" t="s">
        <v>10</v>
      </c>
      <c r="M21" s="4" t="s">
        <v>35</v>
      </c>
      <c r="N21" s="5" t="s">
        <v>8</v>
      </c>
      <c r="O21" s="5" t="s">
        <v>9</v>
      </c>
      <c r="P21" s="6" t="s">
        <v>10</v>
      </c>
    </row>
    <row r="22" spans="3:16" x14ac:dyDescent="0.25">
      <c r="C22" s="4" t="s">
        <v>5</v>
      </c>
      <c r="D22" s="5">
        <v>6</v>
      </c>
      <c r="E22" s="5"/>
      <c r="F22" s="6"/>
      <c r="H22" s="4" t="s">
        <v>5</v>
      </c>
      <c r="I22" s="5">
        <v>6</v>
      </c>
      <c r="J22" s="5"/>
      <c r="K22" s="6"/>
      <c r="M22" s="4" t="s">
        <v>5</v>
      </c>
      <c r="N22" s="5">
        <v>5</v>
      </c>
      <c r="O22" s="5"/>
      <c r="P22" s="6"/>
    </row>
    <row r="23" spans="3:16" x14ac:dyDescent="0.25">
      <c r="C23" s="4" t="s">
        <v>6</v>
      </c>
      <c r="D23" s="5">
        <v>0</v>
      </c>
      <c r="E23" s="5">
        <v>0</v>
      </c>
      <c r="F23" s="6">
        <v>0</v>
      </c>
      <c r="H23" s="4" t="s">
        <v>6</v>
      </c>
      <c r="I23" s="5">
        <v>1</v>
      </c>
      <c r="J23" s="5">
        <v>0.16666666666666666</v>
      </c>
      <c r="K23" s="6">
        <v>0.15214515486254615</v>
      </c>
      <c r="M23" s="4" t="s">
        <v>6</v>
      </c>
      <c r="N23" s="5">
        <v>0</v>
      </c>
      <c r="O23" s="5">
        <v>0</v>
      </c>
      <c r="P23" s="6">
        <v>0</v>
      </c>
    </row>
    <row r="24" spans="3:16" x14ac:dyDescent="0.25">
      <c r="C24" s="119" t="s">
        <v>7</v>
      </c>
      <c r="D24" s="112">
        <v>1</v>
      </c>
      <c r="E24" s="112">
        <v>0.16666666666666666</v>
      </c>
      <c r="F24" s="35">
        <v>0.15214515486254615</v>
      </c>
      <c r="H24" s="119" t="s">
        <v>7</v>
      </c>
      <c r="I24" s="112">
        <v>1</v>
      </c>
      <c r="J24" s="112">
        <v>0.16666666666666666</v>
      </c>
      <c r="K24" s="35">
        <v>0.15214515486254615</v>
      </c>
      <c r="M24" s="119" t="s">
        <v>7</v>
      </c>
      <c r="N24" s="112">
        <v>3</v>
      </c>
      <c r="O24" s="112">
        <v>0.6</v>
      </c>
      <c r="P24" s="35">
        <v>0.21908902300206645</v>
      </c>
    </row>
  </sheetData>
  <mergeCells count="3">
    <mergeCell ref="C2:F2"/>
    <mergeCell ref="H2:K2"/>
    <mergeCell ref="M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4"/>
  <sheetViews>
    <sheetView topLeftCell="A19" workbookViewId="0">
      <selection activeCell="O37" sqref="O37:R52"/>
    </sheetView>
  </sheetViews>
  <sheetFormatPr defaultRowHeight="15" x14ac:dyDescent="0.25"/>
  <cols>
    <col min="2" max="2" width="20" customWidth="1"/>
  </cols>
  <sheetData>
    <row r="3" spans="1:9" x14ac:dyDescent="0.25">
      <c r="B3" s="75" t="s">
        <v>12</v>
      </c>
      <c r="C3" s="76" t="s">
        <v>0</v>
      </c>
      <c r="D3" s="99"/>
      <c r="E3" s="124"/>
      <c r="F3" s="99"/>
      <c r="G3" s="76" t="s">
        <v>11</v>
      </c>
      <c r="H3" s="99"/>
      <c r="I3" s="78"/>
    </row>
    <row r="4" spans="1:9" x14ac:dyDescent="0.25">
      <c r="B4" s="80" t="s">
        <v>1</v>
      </c>
      <c r="C4" s="81">
        <v>3</v>
      </c>
      <c r="D4" s="82">
        <v>6</v>
      </c>
      <c r="E4" s="82">
        <v>4</v>
      </c>
      <c r="F4" s="82">
        <v>0</v>
      </c>
      <c r="G4" s="81">
        <v>5</v>
      </c>
      <c r="H4" s="82">
        <v>0</v>
      </c>
      <c r="I4" s="83">
        <v>3</v>
      </c>
    </row>
    <row r="5" spans="1:9" x14ac:dyDescent="0.25">
      <c r="B5" s="80" t="s">
        <v>2</v>
      </c>
      <c r="C5" s="81">
        <v>2</v>
      </c>
      <c r="D5" s="82">
        <v>1</v>
      </c>
      <c r="E5" s="82">
        <v>7</v>
      </c>
      <c r="F5" s="82">
        <v>0</v>
      </c>
      <c r="G5" s="81">
        <v>0</v>
      </c>
      <c r="H5" s="82">
        <v>2</v>
      </c>
      <c r="I5" s="83">
        <v>0</v>
      </c>
    </row>
    <row r="6" spans="1:9" x14ac:dyDescent="0.25">
      <c r="B6" s="80" t="s">
        <v>3</v>
      </c>
      <c r="C6" s="81">
        <v>0</v>
      </c>
      <c r="D6" s="82">
        <v>2</v>
      </c>
      <c r="E6" s="82">
        <v>0</v>
      </c>
      <c r="F6" s="82">
        <v>8</v>
      </c>
      <c r="G6" s="81">
        <v>1</v>
      </c>
      <c r="H6" s="82">
        <v>7</v>
      </c>
      <c r="I6" s="83">
        <v>11</v>
      </c>
    </row>
    <row r="7" spans="1:9" x14ac:dyDescent="0.25">
      <c r="B7" s="80" t="s">
        <v>4</v>
      </c>
      <c r="C7" s="81">
        <v>17</v>
      </c>
      <c r="D7" s="82">
        <v>12</v>
      </c>
      <c r="E7" s="82">
        <v>13</v>
      </c>
      <c r="F7" s="82">
        <v>11</v>
      </c>
      <c r="G7" s="81">
        <v>8</v>
      </c>
      <c r="H7" s="82">
        <v>11</v>
      </c>
      <c r="I7" s="83">
        <v>18</v>
      </c>
    </row>
    <row r="8" spans="1:9" x14ac:dyDescent="0.25">
      <c r="B8" s="80"/>
      <c r="C8" s="81"/>
      <c r="D8" s="82"/>
      <c r="E8" s="82"/>
      <c r="F8" s="82"/>
      <c r="G8" s="81"/>
      <c r="H8" s="82"/>
      <c r="I8" s="83"/>
    </row>
    <row r="9" spans="1:9" x14ac:dyDescent="0.25">
      <c r="B9" s="80" t="s">
        <v>1</v>
      </c>
      <c r="C9" s="88">
        <f t="shared" ref="C9:E9" si="0">C4/C7*100</f>
        <v>17.647058823529413</v>
      </c>
      <c r="D9" s="85">
        <f t="shared" si="0"/>
        <v>50</v>
      </c>
      <c r="E9" s="86">
        <f t="shared" si="0"/>
        <v>30.76923076923077</v>
      </c>
      <c r="F9" s="86">
        <f>F4/F7*100</f>
        <v>0</v>
      </c>
      <c r="G9" s="88">
        <f t="shared" ref="G9:I9" si="1">G4/G7*100</f>
        <v>62.5</v>
      </c>
      <c r="H9" s="86">
        <f>H4/H7*100</f>
        <v>0</v>
      </c>
      <c r="I9" s="89">
        <f t="shared" si="1"/>
        <v>16.666666666666664</v>
      </c>
    </row>
    <row r="10" spans="1:9" x14ac:dyDescent="0.25">
      <c r="B10" s="80" t="s">
        <v>2</v>
      </c>
      <c r="C10" s="84">
        <f t="shared" ref="C10:E10" si="2">C5/C7*100</f>
        <v>11.76470588235294</v>
      </c>
      <c r="D10" s="86">
        <f t="shared" si="2"/>
        <v>8.3333333333333321</v>
      </c>
      <c r="E10" s="85">
        <f t="shared" si="2"/>
        <v>53.846153846153847</v>
      </c>
      <c r="F10" s="86">
        <f>F5/F7*100</f>
        <v>0</v>
      </c>
      <c r="G10" s="84">
        <f t="shared" ref="G10:I10" si="3">G5/G7*100</f>
        <v>0</v>
      </c>
      <c r="H10" s="86">
        <f>H5/H7*100</f>
        <v>18.181818181818183</v>
      </c>
      <c r="I10" s="89">
        <f t="shared" si="3"/>
        <v>0</v>
      </c>
    </row>
    <row r="11" spans="1:9" x14ac:dyDescent="0.25">
      <c r="B11" s="80" t="s">
        <v>3</v>
      </c>
      <c r="C11" s="125">
        <f t="shared" ref="C11:E11" si="4">C6/C7*100</f>
        <v>0</v>
      </c>
      <c r="D11" s="91">
        <f t="shared" si="4"/>
        <v>16.666666666666664</v>
      </c>
      <c r="E11" s="126">
        <f t="shared" si="4"/>
        <v>0</v>
      </c>
      <c r="F11" s="94">
        <f>F6/F7*100</f>
        <v>72.727272727272734</v>
      </c>
      <c r="G11" s="102">
        <f t="shared" ref="G11:I11" si="5">G6/G7*100</f>
        <v>12.5</v>
      </c>
      <c r="H11" s="93">
        <f>H6/H7*100</f>
        <v>63.636363636363633</v>
      </c>
      <c r="I11" s="109">
        <f t="shared" si="5"/>
        <v>61.111111111111114</v>
      </c>
    </row>
    <row r="12" spans="1:9" x14ac:dyDescent="0.25">
      <c r="B12" s="80"/>
      <c r="C12" s="80"/>
      <c r="D12" s="80"/>
      <c r="E12" s="80"/>
      <c r="F12" s="80"/>
      <c r="G12" s="80"/>
      <c r="H12" s="80"/>
      <c r="I12" s="80"/>
    </row>
    <row r="13" spans="1:9" x14ac:dyDescent="0.25">
      <c r="B13" s="80"/>
      <c r="C13" s="80"/>
      <c r="D13" s="80"/>
      <c r="E13" s="80"/>
      <c r="F13" s="80"/>
      <c r="G13" s="80"/>
      <c r="H13" s="80"/>
      <c r="I13" s="80"/>
    </row>
    <row r="14" spans="1:9" x14ac:dyDescent="0.25">
      <c r="A14" s="5"/>
      <c r="B14" s="82"/>
      <c r="C14" s="82"/>
      <c r="D14" s="82"/>
      <c r="E14" s="82"/>
      <c r="F14" s="82"/>
      <c r="G14" s="82"/>
      <c r="H14" s="82"/>
      <c r="I14" s="80"/>
    </row>
    <row r="15" spans="1:9" x14ac:dyDescent="0.25">
      <c r="A15" s="5"/>
      <c r="B15" s="82" t="s">
        <v>13</v>
      </c>
      <c r="C15" s="82" t="s">
        <v>8</v>
      </c>
      <c r="D15" s="82" t="s">
        <v>9</v>
      </c>
      <c r="E15" s="82" t="s">
        <v>10</v>
      </c>
      <c r="F15" s="82"/>
      <c r="G15" s="82"/>
      <c r="H15" s="82"/>
      <c r="I15" s="80"/>
    </row>
    <row r="16" spans="1:9" x14ac:dyDescent="0.25">
      <c r="A16" s="5"/>
      <c r="B16" s="82" t="s">
        <v>5</v>
      </c>
      <c r="C16" s="82">
        <f>COUNT(C4:I4)</f>
        <v>7</v>
      </c>
      <c r="D16" s="82"/>
      <c r="E16" s="82"/>
      <c r="F16" s="82"/>
      <c r="G16" s="82"/>
      <c r="H16" s="82"/>
      <c r="I16" s="80"/>
    </row>
    <row r="17" spans="1:11" x14ac:dyDescent="0.25">
      <c r="A17" s="5"/>
      <c r="B17" s="82" t="s">
        <v>6</v>
      </c>
      <c r="C17" s="82">
        <v>1</v>
      </c>
      <c r="D17" s="82">
        <f>C17/C16</f>
        <v>0.14285714285714285</v>
      </c>
      <c r="E17" s="82">
        <f>SQRT((D17*(1-D17))/$C$16)</f>
        <v>0.13226001425322165</v>
      </c>
      <c r="F17" s="82"/>
      <c r="G17" s="82"/>
      <c r="H17" s="82"/>
      <c r="I17" s="80"/>
    </row>
    <row r="18" spans="1:11" x14ac:dyDescent="0.25">
      <c r="A18" s="5"/>
      <c r="B18" s="82" t="s">
        <v>7</v>
      </c>
      <c r="C18" s="82">
        <v>0</v>
      </c>
      <c r="D18" s="82">
        <f>C18/C16</f>
        <v>0</v>
      </c>
      <c r="E18" s="82">
        <f>SQRT((D18*(1-D18))/$C$16)</f>
        <v>0</v>
      </c>
      <c r="F18" s="82"/>
      <c r="G18" s="82"/>
      <c r="H18" s="82"/>
      <c r="I18" s="80"/>
    </row>
    <row r="19" spans="1:11" x14ac:dyDescent="0.25">
      <c r="A19" s="5"/>
      <c r="B19" s="5"/>
      <c r="C19" s="5"/>
      <c r="D19" s="5"/>
      <c r="E19" s="5"/>
      <c r="F19" s="5"/>
      <c r="G19" s="5"/>
      <c r="H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</row>
    <row r="21" spans="1:11" x14ac:dyDescent="0.25">
      <c r="A21" s="5"/>
      <c r="B21" s="55" t="s">
        <v>12</v>
      </c>
      <c r="C21" s="56" t="s">
        <v>14</v>
      </c>
      <c r="D21" s="59"/>
      <c r="E21" s="103"/>
      <c r="F21" s="103"/>
      <c r="G21" s="104"/>
      <c r="H21" s="56" t="s">
        <v>15</v>
      </c>
      <c r="I21" s="103"/>
      <c r="J21" s="59"/>
      <c r="K21" s="60"/>
    </row>
    <row r="22" spans="1:11" x14ac:dyDescent="0.25">
      <c r="B22" s="61" t="s">
        <v>1</v>
      </c>
      <c r="C22" s="62">
        <v>13</v>
      </c>
      <c r="D22" s="63">
        <v>6</v>
      </c>
      <c r="E22" s="63">
        <v>5</v>
      </c>
      <c r="F22" s="63">
        <v>15</v>
      </c>
      <c r="G22" s="64">
        <v>12</v>
      </c>
      <c r="H22" s="62">
        <v>0</v>
      </c>
      <c r="I22" s="63">
        <v>4</v>
      </c>
      <c r="J22" s="63">
        <v>0</v>
      </c>
      <c r="K22" s="64">
        <v>6</v>
      </c>
    </row>
    <row r="23" spans="1:11" x14ac:dyDescent="0.25">
      <c r="B23" s="61" t="s">
        <v>2</v>
      </c>
      <c r="C23" s="62">
        <v>0</v>
      </c>
      <c r="D23" s="63">
        <v>1</v>
      </c>
      <c r="E23" s="63">
        <v>4</v>
      </c>
      <c r="F23" s="63">
        <v>8</v>
      </c>
      <c r="G23" s="64">
        <v>4</v>
      </c>
      <c r="H23" s="62">
        <v>0</v>
      </c>
      <c r="I23" s="63">
        <v>3</v>
      </c>
      <c r="J23" s="63">
        <v>1</v>
      </c>
      <c r="K23" s="64">
        <v>6</v>
      </c>
    </row>
    <row r="24" spans="1:11" x14ac:dyDescent="0.25">
      <c r="B24" s="61" t="s">
        <v>3</v>
      </c>
      <c r="C24" s="62">
        <v>14</v>
      </c>
      <c r="D24" s="63">
        <v>7</v>
      </c>
      <c r="E24" s="63">
        <v>2</v>
      </c>
      <c r="F24" s="63">
        <v>1</v>
      </c>
      <c r="G24" s="64">
        <v>0</v>
      </c>
      <c r="H24" s="62">
        <v>10</v>
      </c>
      <c r="I24" s="63">
        <v>0</v>
      </c>
      <c r="J24" s="63">
        <v>20</v>
      </c>
      <c r="K24" s="64">
        <v>2</v>
      </c>
    </row>
    <row r="25" spans="1:11" x14ac:dyDescent="0.25">
      <c r="B25" s="61" t="s">
        <v>4</v>
      </c>
      <c r="C25" s="62">
        <v>30</v>
      </c>
      <c r="D25" s="63">
        <v>17</v>
      </c>
      <c r="E25" s="63">
        <v>14</v>
      </c>
      <c r="F25" s="63">
        <v>38</v>
      </c>
      <c r="G25" s="64">
        <v>18</v>
      </c>
      <c r="H25" s="62">
        <v>10</v>
      </c>
      <c r="I25" s="63">
        <v>15</v>
      </c>
      <c r="J25" s="63">
        <v>21</v>
      </c>
      <c r="K25" s="64">
        <v>17</v>
      </c>
    </row>
    <row r="26" spans="1:11" x14ac:dyDescent="0.25">
      <c r="B26" s="61"/>
      <c r="C26" s="62"/>
      <c r="D26" s="63"/>
      <c r="E26" s="63"/>
      <c r="F26" s="63"/>
      <c r="G26" s="64"/>
      <c r="H26" s="62"/>
      <c r="I26" s="63"/>
      <c r="J26" s="63"/>
      <c r="K26" s="64"/>
    </row>
    <row r="27" spans="1:11" x14ac:dyDescent="0.25">
      <c r="B27" s="61" t="s">
        <v>1</v>
      </c>
      <c r="C27" s="69">
        <f t="shared" ref="C27:K27" si="6">C22/C25*100</f>
        <v>43.333333333333336</v>
      </c>
      <c r="D27" s="66">
        <f t="shared" si="6"/>
        <v>35.294117647058826</v>
      </c>
      <c r="E27" s="70">
        <f t="shared" si="6"/>
        <v>35.714285714285715</v>
      </c>
      <c r="F27" s="70">
        <f t="shared" si="6"/>
        <v>39.473684210526315</v>
      </c>
      <c r="G27" s="68">
        <f t="shared" si="6"/>
        <v>66.666666666666657</v>
      </c>
      <c r="H27" s="69">
        <f t="shared" si="6"/>
        <v>0</v>
      </c>
      <c r="I27" s="70">
        <f t="shared" si="6"/>
        <v>26.666666666666668</v>
      </c>
      <c r="J27" s="66">
        <f t="shared" si="6"/>
        <v>0</v>
      </c>
      <c r="K27" s="68">
        <f t="shared" si="6"/>
        <v>35.294117647058826</v>
      </c>
    </row>
    <row r="28" spans="1:11" x14ac:dyDescent="0.25">
      <c r="B28" s="61" t="s">
        <v>2</v>
      </c>
      <c r="C28" s="69">
        <f t="shared" ref="C28:K28" si="7">C23/C25*100</f>
        <v>0</v>
      </c>
      <c r="D28" s="66">
        <f t="shared" si="7"/>
        <v>5.8823529411764701</v>
      </c>
      <c r="E28" s="66">
        <f t="shared" si="7"/>
        <v>28.571428571428569</v>
      </c>
      <c r="F28" s="66">
        <f t="shared" si="7"/>
        <v>21.052631578947366</v>
      </c>
      <c r="G28" s="67">
        <f t="shared" si="7"/>
        <v>22.222222222222221</v>
      </c>
      <c r="H28" s="69">
        <f t="shared" si="7"/>
        <v>0</v>
      </c>
      <c r="I28" s="66">
        <f t="shared" si="7"/>
        <v>20</v>
      </c>
      <c r="J28" s="66">
        <f t="shared" si="7"/>
        <v>4.7619047619047619</v>
      </c>
      <c r="K28" s="67">
        <f t="shared" si="7"/>
        <v>35.294117647058826</v>
      </c>
    </row>
    <row r="29" spans="1:11" x14ac:dyDescent="0.25">
      <c r="B29" s="61" t="s">
        <v>3</v>
      </c>
      <c r="C29" s="116">
        <f t="shared" ref="C29:J29" si="8">C24/C25*100</f>
        <v>46.666666666666664</v>
      </c>
      <c r="D29" s="72">
        <f t="shared" si="8"/>
        <v>41.17647058823529</v>
      </c>
      <c r="E29" s="106">
        <f t="shared" si="8"/>
        <v>14.285714285714285</v>
      </c>
      <c r="F29" s="106">
        <f t="shared" si="8"/>
        <v>2.6315789473684208</v>
      </c>
      <c r="G29" s="127">
        <f t="shared" si="8"/>
        <v>0</v>
      </c>
      <c r="H29" s="36">
        <f>H24/H25*100</f>
        <v>100</v>
      </c>
      <c r="I29" s="106">
        <f t="shared" ref="I29:K29" si="9">I24/I25*100</f>
        <v>0</v>
      </c>
      <c r="J29" s="72">
        <f>J24/J25*100</f>
        <v>95.238095238095227</v>
      </c>
      <c r="K29" s="97">
        <f t="shared" si="9"/>
        <v>11.76470588235294</v>
      </c>
    </row>
    <row r="30" spans="1:11" x14ac:dyDescent="0.25">
      <c r="B30" s="61"/>
      <c r="C30" s="61"/>
      <c r="D30" s="61"/>
      <c r="E30" s="61"/>
      <c r="F30" s="61"/>
      <c r="G30" s="61"/>
      <c r="H30" s="61"/>
      <c r="I30" s="61"/>
      <c r="J30" s="61"/>
      <c r="K30" s="61"/>
    </row>
    <row r="31" spans="1:11" x14ac:dyDescent="0.25"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1" x14ac:dyDescent="0.25">
      <c r="B32" s="63"/>
      <c r="C32" s="63"/>
      <c r="D32" s="63"/>
      <c r="E32" s="63"/>
      <c r="F32" s="63"/>
      <c r="G32" s="63"/>
      <c r="H32" s="63"/>
      <c r="I32" s="61"/>
      <c r="J32" s="61"/>
      <c r="K32" s="61"/>
    </row>
    <row r="33" spans="2:11" x14ac:dyDescent="0.25">
      <c r="B33" s="63" t="s">
        <v>16</v>
      </c>
      <c r="C33" s="63" t="s">
        <v>8</v>
      </c>
      <c r="D33" s="63" t="s">
        <v>9</v>
      </c>
      <c r="E33" s="63" t="s">
        <v>10</v>
      </c>
      <c r="F33" s="63"/>
      <c r="G33" s="63"/>
      <c r="H33" s="63"/>
      <c r="I33" s="61"/>
      <c r="J33" s="61"/>
      <c r="K33" s="61"/>
    </row>
    <row r="34" spans="2:11" x14ac:dyDescent="0.25">
      <c r="B34" s="63" t="s">
        <v>5</v>
      </c>
      <c r="C34" s="63">
        <f>COUNT(C22:K22)</f>
        <v>9</v>
      </c>
      <c r="D34" s="63"/>
      <c r="E34" s="63"/>
      <c r="F34" s="63"/>
      <c r="G34" s="63"/>
      <c r="H34" s="63"/>
      <c r="I34" s="61"/>
      <c r="J34" s="61"/>
      <c r="K34" s="61"/>
    </row>
    <row r="35" spans="2:11" x14ac:dyDescent="0.25">
      <c r="B35" s="63" t="s">
        <v>6</v>
      </c>
      <c r="C35" s="63">
        <v>1</v>
      </c>
      <c r="D35" s="63">
        <f>C35/C34</f>
        <v>0.1111111111111111</v>
      </c>
      <c r="E35" s="63">
        <f>SQRT((D35*(1-D35))/$C$34)</f>
        <v>0.10475656017578482</v>
      </c>
      <c r="F35" s="63"/>
      <c r="G35" s="63"/>
      <c r="H35" s="63"/>
      <c r="I35" s="61"/>
      <c r="J35" s="61"/>
      <c r="K35" s="61"/>
    </row>
    <row r="36" spans="2:11" x14ac:dyDescent="0.25">
      <c r="B36" s="63" t="s">
        <v>7</v>
      </c>
      <c r="C36" s="63">
        <v>0</v>
      </c>
      <c r="D36" s="63">
        <f>C36/C34</f>
        <v>0</v>
      </c>
      <c r="E36" s="63">
        <f>SQRT((D36*(1-D36))/$C$34)</f>
        <v>0</v>
      </c>
      <c r="F36" s="63"/>
      <c r="G36" s="63"/>
      <c r="H36" s="63"/>
      <c r="I36" s="61"/>
      <c r="J36" s="61"/>
      <c r="K36" s="61"/>
    </row>
    <row r="39" spans="2:11" x14ac:dyDescent="0.25">
      <c r="B39" s="75" t="s">
        <v>12</v>
      </c>
      <c r="C39" s="76" t="s">
        <v>17</v>
      </c>
      <c r="D39" s="128"/>
      <c r="E39" s="99"/>
      <c r="F39" s="99"/>
      <c r="G39" s="99"/>
      <c r="H39" s="77"/>
      <c r="I39" s="99"/>
      <c r="J39" s="78"/>
    </row>
    <row r="40" spans="2:11" x14ac:dyDescent="0.25">
      <c r="B40" s="80" t="s">
        <v>1</v>
      </c>
      <c r="C40" s="81">
        <v>11</v>
      </c>
      <c r="D40" s="82">
        <v>0</v>
      </c>
      <c r="E40" s="82">
        <v>7</v>
      </c>
      <c r="F40" s="82">
        <v>0</v>
      </c>
      <c r="G40" s="82">
        <v>1</v>
      </c>
      <c r="H40" s="85">
        <v>8</v>
      </c>
      <c r="I40" s="85">
        <v>3</v>
      </c>
      <c r="J40" s="87">
        <v>2</v>
      </c>
    </row>
    <row r="41" spans="2:11" x14ac:dyDescent="0.25">
      <c r="B41" s="80" t="s">
        <v>2</v>
      </c>
      <c r="C41" s="81">
        <v>0</v>
      </c>
      <c r="D41" s="82">
        <v>0</v>
      </c>
      <c r="E41" s="82">
        <v>5</v>
      </c>
      <c r="F41" s="82">
        <v>2</v>
      </c>
      <c r="G41" s="82">
        <v>1</v>
      </c>
      <c r="H41" s="86">
        <v>0</v>
      </c>
      <c r="I41" s="86">
        <v>2</v>
      </c>
      <c r="J41" s="89">
        <v>0</v>
      </c>
    </row>
    <row r="42" spans="2:11" x14ac:dyDescent="0.25">
      <c r="B42" s="80" t="s">
        <v>3</v>
      </c>
      <c r="C42" s="81">
        <v>0</v>
      </c>
      <c r="D42" s="82">
        <v>11</v>
      </c>
      <c r="E42" s="82">
        <v>3</v>
      </c>
      <c r="F42" s="82">
        <v>6</v>
      </c>
      <c r="G42" s="82">
        <v>2</v>
      </c>
      <c r="H42" s="129">
        <v>0</v>
      </c>
      <c r="I42" s="129">
        <v>0</v>
      </c>
      <c r="J42" s="101">
        <v>6</v>
      </c>
    </row>
    <row r="43" spans="2:11" x14ac:dyDescent="0.25">
      <c r="B43" s="80" t="s">
        <v>4</v>
      </c>
      <c r="C43" s="81">
        <v>20</v>
      </c>
      <c r="D43" s="82">
        <v>40</v>
      </c>
      <c r="E43" s="82">
        <v>16</v>
      </c>
      <c r="F43" s="82">
        <v>12</v>
      </c>
      <c r="G43" s="82">
        <v>11</v>
      </c>
      <c r="H43" s="82">
        <v>10</v>
      </c>
      <c r="I43" s="82">
        <v>8</v>
      </c>
      <c r="J43" s="83">
        <v>10</v>
      </c>
    </row>
    <row r="44" spans="2:11" x14ac:dyDescent="0.25">
      <c r="B44" s="80"/>
      <c r="C44" s="81"/>
      <c r="D44" s="82"/>
      <c r="E44" s="82"/>
      <c r="F44" s="82"/>
      <c r="G44" s="82"/>
      <c r="H44" s="82"/>
      <c r="I44" s="82"/>
      <c r="J44" s="83"/>
    </row>
    <row r="45" spans="2:11" x14ac:dyDescent="0.25">
      <c r="B45" s="80" t="s">
        <v>1</v>
      </c>
      <c r="C45" s="37">
        <f t="shared" ref="C45:J45" si="10">C40/C43*100</f>
        <v>55.000000000000007</v>
      </c>
      <c r="D45" s="86">
        <f t="shared" si="10"/>
        <v>0</v>
      </c>
      <c r="E45" s="85">
        <f t="shared" si="10"/>
        <v>43.75</v>
      </c>
      <c r="F45" s="85">
        <f t="shared" si="10"/>
        <v>0</v>
      </c>
      <c r="G45" s="86">
        <f>G40/G43*100</f>
        <v>9.0909090909090917</v>
      </c>
      <c r="H45" s="22">
        <f t="shared" si="10"/>
        <v>80</v>
      </c>
      <c r="I45" s="85">
        <f t="shared" si="10"/>
        <v>37.5</v>
      </c>
      <c r="J45" s="89">
        <f t="shared" si="10"/>
        <v>20</v>
      </c>
    </row>
    <row r="46" spans="2:11" x14ac:dyDescent="0.25">
      <c r="B46" s="80" t="s">
        <v>2</v>
      </c>
      <c r="C46" s="84">
        <f t="shared" ref="C46:J46" si="11">C41/C43*100</f>
        <v>0</v>
      </c>
      <c r="D46" s="86">
        <f t="shared" si="11"/>
        <v>0</v>
      </c>
      <c r="E46" s="86">
        <f t="shared" si="11"/>
        <v>31.25</v>
      </c>
      <c r="F46" s="86">
        <f t="shared" si="11"/>
        <v>16.666666666666664</v>
      </c>
      <c r="G46" s="86">
        <f>G41/G43*100</f>
        <v>9.0909090909090917</v>
      </c>
      <c r="H46" s="86">
        <f t="shared" si="11"/>
        <v>0</v>
      </c>
      <c r="I46" s="86">
        <f t="shared" si="11"/>
        <v>25</v>
      </c>
      <c r="J46" s="89">
        <f t="shared" si="11"/>
        <v>0</v>
      </c>
    </row>
    <row r="47" spans="2:11" x14ac:dyDescent="0.25">
      <c r="B47" s="80" t="s">
        <v>3</v>
      </c>
      <c r="C47" s="102">
        <f t="shared" ref="C47:F47" si="12">C42/C43*100</f>
        <v>0</v>
      </c>
      <c r="D47" s="94">
        <f>D42/D43*100</f>
        <v>27.500000000000004</v>
      </c>
      <c r="E47" s="130">
        <f t="shared" ref="E47:I47" si="13">E42/E43*100</f>
        <v>18.75</v>
      </c>
      <c r="F47" s="130">
        <f t="shared" si="13"/>
        <v>50</v>
      </c>
      <c r="G47" s="93">
        <f>G42/G43*100</f>
        <v>18.181818181818183</v>
      </c>
      <c r="H47" s="130">
        <f t="shared" si="13"/>
        <v>0</v>
      </c>
      <c r="I47" s="130">
        <f t="shared" si="13"/>
        <v>0</v>
      </c>
      <c r="J47" s="109">
        <f>J42/J43*100</f>
        <v>60</v>
      </c>
    </row>
    <row r="48" spans="2:11" x14ac:dyDescent="0.25">
      <c r="B48" s="80"/>
      <c r="C48" s="80"/>
      <c r="D48" s="80"/>
      <c r="E48" s="80"/>
      <c r="F48" s="80"/>
      <c r="G48" s="80"/>
      <c r="H48" s="80"/>
      <c r="I48" s="80"/>
      <c r="J48" s="80"/>
    </row>
    <row r="49" spans="2:10" x14ac:dyDescent="0.25">
      <c r="B49" s="80"/>
      <c r="C49" s="80"/>
      <c r="D49" s="80"/>
      <c r="E49" s="80"/>
      <c r="F49" s="80"/>
      <c r="G49" s="80"/>
      <c r="H49" s="80"/>
      <c r="I49" s="80"/>
      <c r="J49" s="80"/>
    </row>
    <row r="50" spans="2:10" x14ac:dyDescent="0.25">
      <c r="B50" s="82"/>
      <c r="C50" s="82"/>
      <c r="D50" s="82"/>
      <c r="E50" s="82"/>
      <c r="F50" s="82"/>
      <c r="G50" s="82"/>
      <c r="H50" s="82"/>
      <c r="I50" s="80"/>
      <c r="J50" s="80"/>
    </row>
    <row r="51" spans="2:10" x14ac:dyDescent="0.25">
      <c r="B51" s="82" t="s">
        <v>18</v>
      </c>
      <c r="C51" s="82" t="s">
        <v>8</v>
      </c>
      <c r="D51" s="82" t="s">
        <v>9</v>
      </c>
      <c r="E51" s="82" t="s">
        <v>10</v>
      </c>
      <c r="F51" s="82"/>
      <c r="G51" s="82"/>
      <c r="H51" s="82"/>
      <c r="I51" s="80"/>
      <c r="J51" s="80"/>
    </row>
    <row r="52" spans="2:10" x14ac:dyDescent="0.25">
      <c r="B52" s="82" t="s">
        <v>5</v>
      </c>
      <c r="C52" s="82">
        <f>COUNT(C40:J40)</f>
        <v>8</v>
      </c>
      <c r="D52" s="82"/>
      <c r="E52" s="82"/>
      <c r="F52" s="82"/>
      <c r="G52" s="82"/>
      <c r="H52" s="82"/>
      <c r="I52" s="80"/>
      <c r="J52" s="80"/>
    </row>
    <row r="53" spans="2:10" x14ac:dyDescent="0.25">
      <c r="B53" s="82" t="s">
        <v>6</v>
      </c>
      <c r="C53" s="82">
        <v>1</v>
      </c>
      <c r="D53" s="82">
        <f>C53/C52</f>
        <v>0.125</v>
      </c>
      <c r="E53" s="82">
        <f>SQRT((D53*(1-D53))/$C$52)</f>
        <v>0.11692679333668567</v>
      </c>
      <c r="F53" s="82"/>
      <c r="G53" s="82"/>
      <c r="H53" s="82"/>
      <c r="I53" s="80"/>
      <c r="J53" s="80"/>
    </row>
    <row r="54" spans="2:10" x14ac:dyDescent="0.25">
      <c r="B54" s="82" t="s">
        <v>7</v>
      </c>
      <c r="C54" s="82">
        <v>2</v>
      </c>
      <c r="D54" s="82">
        <f>C54/C52</f>
        <v>0.25</v>
      </c>
      <c r="E54" s="82">
        <f>SQRT((D54*(1-D54))/$C$52)</f>
        <v>0.15309310892394862</v>
      </c>
      <c r="F54" s="82"/>
      <c r="G54" s="82"/>
      <c r="H54" s="82"/>
      <c r="I54" s="80"/>
      <c r="J5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54"/>
  <sheetViews>
    <sheetView topLeftCell="A13" workbookViewId="0">
      <selection activeCell="Q30" sqref="Q30:T45"/>
    </sheetView>
  </sheetViews>
  <sheetFormatPr defaultRowHeight="15" x14ac:dyDescent="0.25"/>
  <cols>
    <col min="2" max="2" width="21.42578125" customWidth="1"/>
  </cols>
  <sheetData>
    <row r="3" spans="2:13" x14ac:dyDescent="0.25">
      <c r="B3" s="75" t="s">
        <v>20</v>
      </c>
      <c r="C3" s="76" t="s">
        <v>0</v>
      </c>
      <c r="D3" s="99"/>
      <c r="E3" s="99"/>
      <c r="F3" s="99"/>
      <c r="G3" s="99"/>
      <c r="H3" s="78"/>
      <c r="I3" s="76" t="s">
        <v>11</v>
      </c>
      <c r="J3" s="99"/>
      <c r="K3" s="124"/>
      <c r="L3" s="99"/>
      <c r="M3" s="78"/>
    </row>
    <row r="4" spans="2:13" x14ac:dyDescent="0.25">
      <c r="B4" s="80" t="s">
        <v>1</v>
      </c>
      <c r="C4" s="81">
        <v>5</v>
      </c>
      <c r="D4" s="82">
        <v>2</v>
      </c>
      <c r="E4" s="82">
        <v>5</v>
      </c>
      <c r="F4" s="82">
        <v>4</v>
      </c>
      <c r="G4" s="82">
        <v>0</v>
      </c>
      <c r="H4" s="83">
        <v>17</v>
      </c>
      <c r="I4" s="81">
        <v>0</v>
      </c>
      <c r="J4" s="82">
        <v>1</v>
      </c>
      <c r="K4" s="82">
        <v>2</v>
      </c>
      <c r="L4" s="82">
        <v>6</v>
      </c>
      <c r="M4" s="83">
        <v>3</v>
      </c>
    </row>
    <row r="5" spans="2:13" x14ac:dyDescent="0.25">
      <c r="B5" s="80" t="s">
        <v>2</v>
      </c>
      <c r="C5" s="81">
        <v>0</v>
      </c>
      <c r="D5" s="82">
        <v>0</v>
      </c>
      <c r="E5" s="82">
        <v>0</v>
      </c>
      <c r="F5" s="82">
        <v>1</v>
      </c>
      <c r="G5" s="82">
        <v>0</v>
      </c>
      <c r="H5" s="83">
        <v>2</v>
      </c>
      <c r="I5" s="81">
        <v>1</v>
      </c>
      <c r="J5" s="82">
        <v>0</v>
      </c>
      <c r="K5" s="82">
        <v>0</v>
      </c>
      <c r="L5" s="82">
        <v>0</v>
      </c>
      <c r="M5" s="83">
        <v>0</v>
      </c>
    </row>
    <row r="6" spans="2:13" x14ac:dyDescent="0.25">
      <c r="B6" s="80" t="s">
        <v>3</v>
      </c>
      <c r="C6" s="81">
        <v>0</v>
      </c>
      <c r="D6" s="82">
        <v>2</v>
      </c>
      <c r="E6" s="82">
        <v>2</v>
      </c>
      <c r="F6" s="82">
        <v>1</v>
      </c>
      <c r="G6" s="82">
        <v>7</v>
      </c>
      <c r="H6" s="83">
        <v>0</v>
      </c>
      <c r="I6" s="81">
        <v>4</v>
      </c>
      <c r="J6" s="82">
        <v>1</v>
      </c>
      <c r="K6" s="82">
        <v>5</v>
      </c>
      <c r="L6" s="82">
        <v>0</v>
      </c>
      <c r="M6" s="83">
        <v>2</v>
      </c>
    </row>
    <row r="7" spans="2:13" x14ac:dyDescent="0.25">
      <c r="B7" s="80" t="s">
        <v>4</v>
      </c>
      <c r="C7" s="81">
        <v>7</v>
      </c>
      <c r="D7" s="82">
        <v>6</v>
      </c>
      <c r="E7" s="82">
        <v>9</v>
      </c>
      <c r="F7" s="82">
        <v>6</v>
      </c>
      <c r="G7" s="82">
        <v>9</v>
      </c>
      <c r="H7" s="83">
        <v>24</v>
      </c>
      <c r="I7" s="81">
        <v>8</v>
      </c>
      <c r="J7" s="82">
        <v>8</v>
      </c>
      <c r="K7" s="82">
        <v>9</v>
      </c>
      <c r="L7" s="82">
        <v>6</v>
      </c>
      <c r="M7" s="83">
        <v>14</v>
      </c>
    </row>
    <row r="8" spans="2:13" x14ac:dyDescent="0.25">
      <c r="B8" s="80"/>
      <c r="C8" s="81"/>
      <c r="D8" s="82"/>
      <c r="E8" s="82"/>
      <c r="F8" s="82"/>
      <c r="G8" s="82"/>
      <c r="H8" s="83"/>
      <c r="I8" s="81"/>
      <c r="J8" s="82"/>
      <c r="K8" s="82"/>
      <c r="L8" s="82"/>
      <c r="M8" s="83"/>
    </row>
    <row r="9" spans="2:13" x14ac:dyDescent="0.25">
      <c r="B9" s="80" t="s">
        <v>1</v>
      </c>
      <c r="C9" s="37">
        <f t="shared" ref="C9:M9" si="0">C4/C7*100</f>
        <v>71.428571428571431</v>
      </c>
      <c r="D9" s="86">
        <f t="shared" si="0"/>
        <v>33.333333333333329</v>
      </c>
      <c r="E9" s="85">
        <f t="shared" si="0"/>
        <v>55.555555555555557</v>
      </c>
      <c r="F9" s="85">
        <f t="shared" si="0"/>
        <v>66.666666666666657</v>
      </c>
      <c r="G9" s="129">
        <f t="shared" si="0"/>
        <v>0</v>
      </c>
      <c r="H9" s="87">
        <f t="shared" si="0"/>
        <v>70.833333333333343</v>
      </c>
      <c r="I9" s="84">
        <f t="shared" si="0"/>
        <v>0</v>
      </c>
      <c r="J9" s="86">
        <f t="shared" si="0"/>
        <v>12.5</v>
      </c>
      <c r="K9" s="86">
        <f t="shared" si="0"/>
        <v>22.222222222222221</v>
      </c>
      <c r="L9" s="22">
        <f t="shared" si="0"/>
        <v>100</v>
      </c>
      <c r="M9" s="87">
        <f t="shared" si="0"/>
        <v>21.428571428571427</v>
      </c>
    </row>
    <row r="10" spans="2:13" x14ac:dyDescent="0.25">
      <c r="B10" s="80" t="s">
        <v>2</v>
      </c>
      <c r="C10" s="84">
        <f t="shared" ref="C10:M10" si="1">C5/C7*100</f>
        <v>0</v>
      </c>
      <c r="D10" s="86">
        <f t="shared" si="1"/>
        <v>0</v>
      </c>
      <c r="E10" s="86">
        <f t="shared" si="1"/>
        <v>0</v>
      </c>
      <c r="F10" s="86">
        <f t="shared" si="1"/>
        <v>16.666666666666664</v>
      </c>
      <c r="G10" s="86">
        <f t="shared" si="1"/>
        <v>0</v>
      </c>
      <c r="H10" s="89">
        <f t="shared" si="1"/>
        <v>8.3333333333333321</v>
      </c>
      <c r="I10" s="84">
        <f t="shared" si="1"/>
        <v>12.5</v>
      </c>
      <c r="J10" s="86">
        <f t="shared" si="1"/>
        <v>0</v>
      </c>
      <c r="K10" s="86">
        <f t="shared" si="1"/>
        <v>0</v>
      </c>
      <c r="L10" s="86">
        <f t="shared" si="1"/>
        <v>0</v>
      </c>
      <c r="M10" s="89">
        <f t="shared" si="1"/>
        <v>0</v>
      </c>
    </row>
    <row r="11" spans="2:13" x14ac:dyDescent="0.25">
      <c r="B11" s="80" t="s">
        <v>3</v>
      </c>
      <c r="C11" s="90">
        <f t="shared" ref="C11:M11" si="2">C6/C7*100</f>
        <v>0</v>
      </c>
      <c r="D11" s="91">
        <f t="shared" si="2"/>
        <v>33.333333333333329</v>
      </c>
      <c r="E11" s="91">
        <f t="shared" si="2"/>
        <v>22.222222222222221</v>
      </c>
      <c r="F11" s="91">
        <f t="shared" si="2"/>
        <v>16.666666666666664</v>
      </c>
      <c r="G11" s="94">
        <f t="shared" si="2"/>
        <v>77.777777777777786</v>
      </c>
      <c r="H11" s="92">
        <f t="shared" si="2"/>
        <v>0</v>
      </c>
      <c r="I11" s="115">
        <f t="shared" si="2"/>
        <v>50</v>
      </c>
      <c r="J11" s="91">
        <f t="shared" si="2"/>
        <v>12.5</v>
      </c>
      <c r="K11" s="93">
        <f t="shared" si="2"/>
        <v>55.555555555555557</v>
      </c>
      <c r="L11" s="91">
        <f t="shared" si="2"/>
        <v>0</v>
      </c>
      <c r="M11" s="92">
        <f t="shared" si="2"/>
        <v>14.285714285714285</v>
      </c>
    </row>
    <row r="12" spans="2:13" x14ac:dyDescent="0.25"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</row>
    <row r="13" spans="2:13" x14ac:dyDescent="0.25"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</row>
    <row r="14" spans="2:13" x14ac:dyDescent="0.25">
      <c r="B14" s="82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</row>
    <row r="15" spans="2:13" x14ac:dyDescent="0.25">
      <c r="B15" s="82" t="s">
        <v>21</v>
      </c>
      <c r="C15" s="82" t="s">
        <v>8</v>
      </c>
      <c r="D15" s="82" t="s">
        <v>9</v>
      </c>
      <c r="E15" s="82" t="s">
        <v>10</v>
      </c>
      <c r="F15" s="80"/>
      <c r="G15" s="80"/>
      <c r="H15" s="80"/>
      <c r="I15" s="80"/>
      <c r="J15" s="80"/>
      <c r="K15" s="80"/>
      <c r="L15" s="80"/>
      <c r="M15" s="80"/>
    </row>
    <row r="16" spans="2:13" x14ac:dyDescent="0.25">
      <c r="B16" s="82" t="s">
        <v>5</v>
      </c>
      <c r="C16" s="82">
        <f>COUNT(C4:M4)</f>
        <v>11</v>
      </c>
      <c r="D16" s="82"/>
      <c r="E16" s="82"/>
      <c r="F16" s="80"/>
      <c r="G16" s="80"/>
      <c r="H16" s="80"/>
      <c r="I16" s="80"/>
      <c r="J16" s="80"/>
      <c r="K16" s="80"/>
      <c r="L16" s="80"/>
      <c r="M16" s="80"/>
    </row>
    <row r="17" spans="2:13" x14ac:dyDescent="0.25">
      <c r="B17" s="82" t="s">
        <v>6</v>
      </c>
      <c r="C17" s="82">
        <v>1</v>
      </c>
      <c r="D17" s="82">
        <f>C17/C16</f>
        <v>9.0909090909090912E-2</v>
      </c>
      <c r="E17" s="82">
        <f>SQRT((D17*(1-D17))/$C$16)</f>
        <v>8.667841720414475E-2</v>
      </c>
      <c r="F17" s="80"/>
      <c r="G17" s="80"/>
      <c r="H17" s="80"/>
      <c r="I17" s="80"/>
      <c r="J17" s="80"/>
      <c r="K17" s="80"/>
      <c r="L17" s="80"/>
      <c r="M17" s="80"/>
    </row>
    <row r="18" spans="2:13" x14ac:dyDescent="0.25">
      <c r="B18" s="82" t="s">
        <v>7</v>
      </c>
      <c r="C18" s="82">
        <v>2</v>
      </c>
      <c r="D18" s="82">
        <f>C18/C16</f>
        <v>0.18181818181818182</v>
      </c>
      <c r="E18" s="82">
        <f>SQRT((D18*(1-D18))/$C$16)</f>
        <v>0.11629129983033297</v>
      </c>
      <c r="F18" s="80"/>
      <c r="G18" s="80"/>
      <c r="H18" s="80"/>
      <c r="I18" s="80"/>
      <c r="J18" s="80"/>
      <c r="K18" s="80"/>
      <c r="L18" s="80"/>
      <c r="M18" s="80"/>
    </row>
    <row r="21" spans="2:13" x14ac:dyDescent="0.25">
      <c r="B21" s="55" t="s">
        <v>20</v>
      </c>
      <c r="C21" s="56" t="s">
        <v>14</v>
      </c>
      <c r="D21" s="59"/>
      <c r="E21" s="59"/>
      <c r="F21" s="59"/>
      <c r="G21" s="60"/>
      <c r="H21" s="56" t="s">
        <v>15</v>
      </c>
      <c r="I21" s="59"/>
      <c r="J21" s="59"/>
      <c r="K21" s="59"/>
      <c r="L21" s="60"/>
    </row>
    <row r="22" spans="2:13" x14ac:dyDescent="0.25">
      <c r="B22" s="61" t="s">
        <v>1</v>
      </c>
      <c r="C22" s="62">
        <v>3</v>
      </c>
      <c r="D22" s="63">
        <v>8</v>
      </c>
      <c r="E22" s="63">
        <v>3</v>
      </c>
      <c r="F22" s="63">
        <v>5</v>
      </c>
      <c r="G22" s="64">
        <v>0</v>
      </c>
      <c r="H22" s="62">
        <v>7</v>
      </c>
      <c r="I22" s="63">
        <v>7</v>
      </c>
      <c r="J22" s="63">
        <v>3</v>
      </c>
      <c r="K22" s="63">
        <v>1</v>
      </c>
      <c r="L22" s="64">
        <v>0</v>
      </c>
    </row>
    <row r="23" spans="2:13" x14ac:dyDescent="0.25">
      <c r="B23" s="61" t="s">
        <v>2</v>
      </c>
      <c r="C23" s="62">
        <v>1</v>
      </c>
      <c r="D23" s="63">
        <v>0</v>
      </c>
      <c r="E23" s="63">
        <v>2</v>
      </c>
      <c r="F23" s="63">
        <v>0</v>
      </c>
      <c r="G23" s="64">
        <v>0</v>
      </c>
      <c r="H23" s="62">
        <v>0</v>
      </c>
      <c r="I23" s="63">
        <v>0</v>
      </c>
      <c r="J23" s="63">
        <v>0</v>
      </c>
      <c r="K23" s="63">
        <v>0</v>
      </c>
      <c r="L23" s="64">
        <v>3</v>
      </c>
    </row>
    <row r="24" spans="2:13" x14ac:dyDescent="0.25">
      <c r="B24" s="61" t="s">
        <v>3</v>
      </c>
      <c r="C24" s="62">
        <v>0</v>
      </c>
      <c r="D24" s="63">
        <v>0</v>
      </c>
      <c r="E24" s="63">
        <v>1</v>
      </c>
      <c r="F24" s="63">
        <v>3</v>
      </c>
      <c r="G24" s="64">
        <v>7</v>
      </c>
      <c r="H24" s="62">
        <v>0</v>
      </c>
      <c r="I24" s="63">
        <v>0</v>
      </c>
      <c r="J24" s="63">
        <v>0</v>
      </c>
      <c r="K24" s="63">
        <v>5</v>
      </c>
      <c r="L24" s="64">
        <v>3</v>
      </c>
    </row>
    <row r="25" spans="2:13" x14ac:dyDescent="0.25">
      <c r="B25" s="61" t="s">
        <v>4</v>
      </c>
      <c r="C25" s="62">
        <v>7</v>
      </c>
      <c r="D25" s="63">
        <v>8</v>
      </c>
      <c r="E25" s="63">
        <v>11</v>
      </c>
      <c r="F25" s="63">
        <v>8</v>
      </c>
      <c r="G25" s="64">
        <v>8</v>
      </c>
      <c r="H25" s="62">
        <v>7</v>
      </c>
      <c r="I25" s="63">
        <v>8</v>
      </c>
      <c r="J25" s="63">
        <v>10</v>
      </c>
      <c r="K25" s="63">
        <v>6</v>
      </c>
      <c r="L25" s="64">
        <v>6</v>
      </c>
    </row>
    <row r="26" spans="2:13" x14ac:dyDescent="0.25">
      <c r="B26" s="61"/>
      <c r="C26" s="62"/>
      <c r="D26" s="63"/>
      <c r="E26" s="63"/>
      <c r="F26" s="63"/>
      <c r="G26" s="64"/>
      <c r="H26" s="62"/>
      <c r="I26" s="63"/>
      <c r="J26" s="63"/>
      <c r="K26" s="63"/>
      <c r="L26" s="64"/>
    </row>
    <row r="27" spans="2:13" x14ac:dyDescent="0.25">
      <c r="B27" s="61" t="s">
        <v>1</v>
      </c>
      <c r="C27" s="65">
        <f t="shared" ref="C27:L27" si="3">C22/C25*100</f>
        <v>42.857142857142854</v>
      </c>
      <c r="D27" s="22">
        <f t="shared" si="3"/>
        <v>100</v>
      </c>
      <c r="E27" s="70">
        <f t="shared" si="3"/>
        <v>27.27272727272727</v>
      </c>
      <c r="F27" s="70">
        <f t="shared" si="3"/>
        <v>62.5</v>
      </c>
      <c r="G27" s="96">
        <f t="shared" si="3"/>
        <v>0</v>
      </c>
      <c r="H27" s="37">
        <f t="shared" si="3"/>
        <v>100</v>
      </c>
      <c r="I27" s="22">
        <f t="shared" si="3"/>
        <v>87.5</v>
      </c>
      <c r="J27" s="22">
        <f t="shared" si="3"/>
        <v>30</v>
      </c>
      <c r="K27" s="105">
        <f t="shared" si="3"/>
        <v>16.666666666666664</v>
      </c>
      <c r="L27" s="96">
        <f t="shared" si="3"/>
        <v>0</v>
      </c>
    </row>
    <row r="28" spans="2:13" x14ac:dyDescent="0.25">
      <c r="B28" s="61" t="s">
        <v>2</v>
      </c>
      <c r="C28" s="69">
        <f t="shared" ref="C28:L28" si="4">C23/C25*100</f>
        <v>14.285714285714285</v>
      </c>
      <c r="D28" s="66">
        <f t="shared" si="4"/>
        <v>0</v>
      </c>
      <c r="E28" s="66">
        <f t="shared" si="4"/>
        <v>18.181818181818183</v>
      </c>
      <c r="F28" s="66">
        <f t="shared" si="4"/>
        <v>0</v>
      </c>
      <c r="G28" s="67">
        <f t="shared" si="4"/>
        <v>0</v>
      </c>
      <c r="H28" s="69">
        <f t="shared" si="4"/>
        <v>0</v>
      </c>
      <c r="I28" s="66">
        <f t="shared" si="4"/>
        <v>0</v>
      </c>
      <c r="J28" s="66">
        <f t="shared" si="4"/>
        <v>0</v>
      </c>
      <c r="K28" s="66">
        <f t="shared" si="4"/>
        <v>0</v>
      </c>
      <c r="L28" s="67">
        <f t="shared" si="4"/>
        <v>50</v>
      </c>
    </row>
    <row r="29" spans="2:13" x14ac:dyDescent="0.25">
      <c r="B29" s="61" t="s">
        <v>3</v>
      </c>
      <c r="C29" s="123">
        <f t="shared" ref="C29:L29" si="5">C24/C25*100</f>
        <v>0</v>
      </c>
      <c r="D29" s="74">
        <f t="shared" si="5"/>
        <v>0</v>
      </c>
      <c r="E29" s="74">
        <f t="shared" si="5"/>
        <v>9.0909090909090917</v>
      </c>
      <c r="F29" s="74">
        <f t="shared" si="5"/>
        <v>37.5</v>
      </c>
      <c r="G29" s="114">
        <f t="shared" si="5"/>
        <v>87.5</v>
      </c>
      <c r="H29" s="71">
        <f t="shared" si="5"/>
        <v>0</v>
      </c>
      <c r="I29" s="74">
        <f t="shared" si="5"/>
        <v>0</v>
      </c>
      <c r="J29" s="74">
        <f t="shared" si="5"/>
        <v>0</v>
      </c>
      <c r="K29" s="72">
        <f t="shared" si="5"/>
        <v>83.333333333333343</v>
      </c>
      <c r="L29" s="107">
        <f t="shared" si="5"/>
        <v>50</v>
      </c>
    </row>
    <row r="30" spans="2:13" x14ac:dyDescent="0.25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</row>
    <row r="31" spans="2:13" x14ac:dyDescent="0.25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</row>
    <row r="32" spans="2:13" x14ac:dyDescent="0.25">
      <c r="B32" s="63"/>
      <c r="C32" s="61"/>
      <c r="D32" s="61"/>
      <c r="E32" s="61"/>
      <c r="F32" s="61"/>
      <c r="G32" s="61"/>
      <c r="H32" s="61"/>
      <c r="I32" s="61"/>
      <c r="J32" s="61"/>
      <c r="K32" s="61"/>
      <c r="L32" s="61"/>
    </row>
    <row r="33" spans="2:12" x14ac:dyDescent="0.25">
      <c r="B33" s="63" t="s">
        <v>23</v>
      </c>
      <c r="C33" s="63" t="s">
        <v>8</v>
      </c>
      <c r="D33" s="63" t="s">
        <v>9</v>
      </c>
      <c r="E33" s="63" t="s">
        <v>10</v>
      </c>
      <c r="F33" s="61"/>
      <c r="G33" s="61"/>
      <c r="H33" s="61"/>
      <c r="I33" s="61"/>
      <c r="J33" s="61"/>
      <c r="K33" s="61"/>
      <c r="L33" s="61"/>
    </row>
    <row r="34" spans="2:12" x14ac:dyDescent="0.25">
      <c r="B34" s="63" t="s">
        <v>5</v>
      </c>
      <c r="C34" s="63">
        <f>COUNT(C22:L22)</f>
        <v>10</v>
      </c>
      <c r="D34" s="63"/>
      <c r="E34" s="63"/>
      <c r="F34" s="61"/>
      <c r="G34" s="61"/>
      <c r="H34" s="61"/>
      <c r="I34" s="61"/>
      <c r="J34" s="61"/>
      <c r="K34" s="61"/>
      <c r="L34" s="61"/>
    </row>
    <row r="35" spans="2:12" x14ac:dyDescent="0.25">
      <c r="B35" s="63" t="s">
        <v>6</v>
      </c>
      <c r="C35" s="63">
        <v>1</v>
      </c>
      <c r="D35" s="63">
        <f>C35/C34</f>
        <v>0.1</v>
      </c>
      <c r="E35" s="63">
        <f>SQRT((D35*(1-D35))/$C$34)</f>
        <v>9.4868329805051388E-2</v>
      </c>
      <c r="F35" s="61"/>
      <c r="G35" s="61"/>
      <c r="H35" s="61"/>
      <c r="I35" s="61"/>
      <c r="J35" s="61"/>
      <c r="K35" s="61"/>
      <c r="L35" s="61"/>
    </row>
    <row r="36" spans="2:12" x14ac:dyDescent="0.25">
      <c r="B36" s="63" t="s">
        <v>7</v>
      </c>
      <c r="C36" s="63">
        <v>4</v>
      </c>
      <c r="D36" s="63">
        <f>C36/C34</f>
        <v>0.4</v>
      </c>
      <c r="E36" s="63">
        <f>SQRT((D36*(1-D36))/$C$34)</f>
        <v>0.15491933384829668</v>
      </c>
      <c r="F36" s="61"/>
      <c r="G36" s="61"/>
      <c r="H36" s="61"/>
      <c r="I36" s="61"/>
      <c r="J36" s="61"/>
      <c r="K36" s="61"/>
      <c r="L36" s="61"/>
    </row>
    <row r="39" spans="2:12" x14ac:dyDescent="0.25">
      <c r="B39" s="75" t="s">
        <v>20</v>
      </c>
      <c r="C39" s="76" t="s">
        <v>17</v>
      </c>
      <c r="D39" s="99"/>
      <c r="E39" s="99"/>
      <c r="F39" s="99"/>
      <c r="G39" s="99"/>
      <c r="H39" s="99"/>
      <c r="I39" s="77"/>
      <c r="J39" s="99"/>
      <c r="K39" s="99"/>
      <c r="L39" s="78"/>
    </row>
    <row r="40" spans="2:12" x14ac:dyDescent="0.25">
      <c r="B40" s="80" t="s">
        <v>1</v>
      </c>
      <c r="C40" s="81">
        <v>3</v>
      </c>
      <c r="D40" s="82">
        <v>1</v>
      </c>
      <c r="E40" s="82">
        <v>2</v>
      </c>
      <c r="F40" s="82">
        <v>4</v>
      </c>
      <c r="G40" s="82">
        <v>2</v>
      </c>
      <c r="H40" s="82">
        <v>2</v>
      </c>
      <c r="I40" s="82">
        <v>1</v>
      </c>
      <c r="J40" s="82">
        <v>0</v>
      </c>
      <c r="K40" s="82">
        <v>0</v>
      </c>
      <c r="L40" s="83">
        <v>0</v>
      </c>
    </row>
    <row r="41" spans="2:12" x14ac:dyDescent="0.25">
      <c r="B41" s="80" t="s">
        <v>2</v>
      </c>
      <c r="C41" s="81">
        <v>1</v>
      </c>
      <c r="D41" s="82">
        <v>0</v>
      </c>
      <c r="E41" s="82">
        <v>0</v>
      </c>
      <c r="F41" s="82">
        <v>6</v>
      </c>
      <c r="G41" s="82">
        <v>1</v>
      </c>
      <c r="H41" s="82">
        <v>0</v>
      </c>
      <c r="I41" s="82">
        <v>1</v>
      </c>
      <c r="J41" s="82">
        <v>4</v>
      </c>
      <c r="K41" s="82">
        <v>0</v>
      </c>
      <c r="L41" s="83">
        <v>3</v>
      </c>
    </row>
    <row r="42" spans="2:12" x14ac:dyDescent="0.25">
      <c r="B42" s="80" t="s">
        <v>3</v>
      </c>
      <c r="C42" s="81">
        <v>21</v>
      </c>
      <c r="D42" s="82">
        <v>3</v>
      </c>
      <c r="E42" s="82">
        <v>4</v>
      </c>
      <c r="F42" s="82">
        <v>0</v>
      </c>
      <c r="G42" s="82">
        <v>0</v>
      </c>
      <c r="H42" s="82">
        <v>0</v>
      </c>
      <c r="I42" s="82">
        <v>5</v>
      </c>
      <c r="J42" s="82">
        <v>4</v>
      </c>
      <c r="K42" s="82">
        <v>5</v>
      </c>
      <c r="L42" s="83">
        <v>2</v>
      </c>
    </row>
    <row r="43" spans="2:12" x14ac:dyDescent="0.25">
      <c r="B43" s="80" t="s">
        <v>4</v>
      </c>
      <c r="C43" s="81">
        <v>15</v>
      </c>
      <c r="D43" s="82">
        <v>6</v>
      </c>
      <c r="E43" s="82">
        <v>6</v>
      </c>
      <c r="F43" s="82">
        <v>10</v>
      </c>
      <c r="G43" s="82">
        <v>9</v>
      </c>
      <c r="H43" s="82">
        <v>8</v>
      </c>
      <c r="I43" s="82">
        <v>15</v>
      </c>
      <c r="J43" s="82">
        <v>9</v>
      </c>
      <c r="K43" s="82">
        <v>7</v>
      </c>
      <c r="L43" s="83">
        <v>6</v>
      </c>
    </row>
    <row r="44" spans="2:12" x14ac:dyDescent="0.25">
      <c r="B44" s="80"/>
      <c r="C44" s="81"/>
      <c r="D44" s="82"/>
      <c r="E44" s="82"/>
      <c r="F44" s="82"/>
      <c r="G44" s="82"/>
      <c r="H44" s="82"/>
      <c r="I44" s="82"/>
      <c r="J44" s="82"/>
      <c r="K44" s="82"/>
      <c r="L44" s="83"/>
    </row>
    <row r="45" spans="2:12" x14ac:dyDescent="0.25">
      <c r="B45" s="80" t="s">
        <v>1</v>
      </c>
      <c r="C45" s="100">
        <f t="shared" ref="C45:L45" si="6">C40/C43*100</f>
        <v>20</v>
      </c>
      <c r="D45" s="129">
        <f t="shared" si="6"/>
        <v>16.666666666666664</v>
      </c>
      <c r="E45" s="129">
        <f t="shared" si="6"/>
        <v>33.333333333333329</v>
      </c>
      <c r="F45" s="85">
        <f t="shared" si="6"/>
        <v>40</v>
      </c>
      <c r="G45" s="85">
        <f t="shared" si="6"/>
        <v>22.222222222222221</v>
      </c>
      <c r="H45" s="22">
        <f t="shared" si="6"/>
        <v>25</v>
      </c>
      <c r="I45" s="129">
        <f t="shared" si="6"/>
        <v>6.666666666666667</v>
      </c>
      <c r="J45" s="129">
        <f t="shared" si="6"/>
        <v>0</v>
      </c>
      <c r="K45" s="129">
        <f t="shared" si="6"/>
        <v>0</v>
      </c>
      <c r="L45" s="101">
        <f t="shared" si="6"/>
        <v>0</v>
      </c>
    </row>
    <row r="46" spans="2:12" x14ac:dyDescent="0.25">
      <c r="B46" s="80" t="s">
        <v>2</v>
      </c>
      <c r="C46" s="84">
        <f t="shared" ref="C46:L46" si="7">C41/C43*100</f>
        <v>6.666666666666667</v>
      </c>
      <c r="D46" s="86">
        <f t="shared" si="7"/>
        <v>0</v>
      </c>
      <c r="E46" s="86">
        <f t="shared" si="7"/>
        <v>0</v>
      </c>
      <c r="F46" s="86">
        <f t="shared" si="7"/>
        <v>60</v>
      </c>
      <c r="G46" s="86">
        <f t="shared" si="7"/>
        <v>11.111111111111111</v>
      </c>
      <c r="H46" s="86">
        <f t="shared" si="7"/>
        <v>0</v>
      </c>
      <c r="I46" s="86">
        <f t="shared" si="7"/>
        <v>6.666666666666667</v>
      </c>
      <c r="J46" s="86">
        <f t="shared" si="7"/>
        <v>44.444444444444443</v>
      </c>
      <c r="K46" s="86">
        <f t="shared" si="7"/>
        <v>0</v>
      </c>
      <c r="L46" s="89">
        <f t="shared" si="7"/>
        <v>50</v>
      </c>
    </row>
    <row r="47" spans="2:12" x14ac:dyDescent="0.25">
      <c r="B47" s="80" t="s">
        <v>3</v>
      </c>
      <c r="C47" s="115">
        <f t="shared" ref="C47:L47" si="8">C42/C43*100</f>
        <v>140</v>
      </c>
      <c r="D47" s="93">
        <f t="shared" si="8"/>
        <v>50</v>
      </c>
      <c r="E47" s="93">
        <f t="shared" si="8"/>
        <v>66.666666666666657</v>
      </c>
      <c r="F47" s="91">
        <f t="shared" si="8"/>
        <v>0</v>
      </c>
      <c r="G47" s="91">
        <f t="shared" si="8"/>
        <v>0</v>
      </c>
      <c r="H47" s="91">
        <f t="shared" si="8"/>
        <v>0</v>
      </c>
      <c r="I47" s="93">
        <f t="shared" si="8"/>
        <v>33.333333333333329</v>
      </c>
      <c r="J47" s="93">
        <f t="shared" si="8"/>
        <v>44.444444444444443</v>
      </c>
      <c r="K47" s="94">
        <f t="shared" si="8"/>
        <v>71.428571428571431</v>
      </c>
      <c r="L47" s="109">
        <f t="shared" si="8"/>
        <v>33.333333333333329</v>
      </c>
    </row>
    <row r="48" spans="2:12" x14ac:dyDescent="0.25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</row>
    <row r="49" spans="2:12" x14ac:dyDescent="0.25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</row>
    <row r="50" spans="2:12" x14ac:dyDescent="0.25">
      <c r="B50" s="82"/>
      <c r="C50" s="80"/>
      <c r="D50" s="80"/>
      <c r="E50" s="80"/>
      <c r="F50" s="80"/>
      <c r="G50" s="80"/>
      <c r="H50" s="80"/>
      <c r="I50" s="80"/>
      <c r="J50" s="80"/>
      <c r="K50" s="80"/>
      <c r="L50" s="80"/>
    </row>
    <row r="51" spans="2:12" x14ac:dyDescent="0.25">
      <c r="B51" s="82" t="s">
        <v>22</v>
      </c>
      <c r="C51" s="82" t="s">
        <v>8</v>
      </c>
      <c r="D51" s="82" t="s">
        <v>9</v>
      </c>
      <c r="E51" s="82" t="s">
        <v>10</v>
      </c>
      <c r="F51" s="80"/>
      <c r="G51" s="80"/>
      <c r="H51" s="80"/>
      <c r="I51" s="80"/>
      <c r="J51" s="80"/>
      <c r="K51" s="80"/>
      <c r="L51" s="80"/>
    </row>
    <row r="52" spans="2:12" x14ac:dyDescent="0.25">
      <c r="B52" s="82" t="s">
        <v>5</v>
      </c>
      <c r="C52" s="82">
        <f>COUNT(C40:L40)</f>
        <v>10</v>
      </c>
      <c r="D52" s="82"/>
      <c r="E52" s="82"/>
      <c r="F52" s="80"/>
      <c r="G52" s="80"/>
      <c r="H52" s="80"/>
      <c r="I52" s="80"/>
      <c r="J52" s="80"/>
      <c r="K52" s="80"/>
      <c r="L52" s="80"/>
    </row>
    <row r="53" spans="2:12" x14ac:dyDescent="0.25">
      <c r="B53" s="82" t="s">
        <v>6</v>
      </c>
      <c r="C53" s="82">
        <v>1</v>
      </c>
      <c r="D53" s="82">
        <f>C53/C52</f>
        <v>0.1</v>
      </c>
      <c r="E53" s="82">
        <f>SQRT((D53*(1-D53))/$C$52)</f>
        <v>9.4868329805051388E-2</v>
      </c>
      <c r="F53" s="80"/>
      <c r="G53" s="80"/>
      <c r="H53" s="80"/>
      <c r="I53" s="80"/>
      <c r="J53" s="80"/>
      <c r="K53" s="80"/>
      <c r="L53" s="80"/>
    </row>
    <row r="54" spans="2:12" x14ac:dyDescent="0.25">
      <c r="B54" s="82" t="s">
        <v>7</v>
      </c>
      <c r="C54" s="82">
        <v>1</v>
      </c>
      <c r="D54" s="82">
        <f>C54/C52</f>
        <v>0.1</v>
      </c>
      <c r="E54" s="82">
        <f>SQRT((D54*(1-D54))/$C$52)</f>
        <v>9.4868329805051388E-2</v>
      </c>
      <c r="F54" s="80"/>
      <c r="G54" s="80"/>
      <c r="H54" s="80"/>
      <c r="I54" s="80"/>
      <c r="J54" s="80"/>
      <c r="K54" s="80"/>
      <c r="L5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54"/>
  <sheetViews>
    <sheetView workbookViewId="0">
      <selection activeCell="P16" sqref="P16:S31"/>
    </sheetView>
  </sheetViews>
  <sheetFormatPr defaultRowHeight="15" x14ac:dyDescent="0.25"/>
  <cols>
    <col min="2" max="2" width="19.85546875" customWidth="1"/>
  </cols>
  <sheetData>
    <row r="3" spans="2:10" x14ac:dyDescent="0.25">
      <c r="B3" s="75" t="s">
        <v>36</v>
      </c>
      <c r="C3" s="76" t="s">
        <v>0</v>
      </c>
      <c r="D3" s="99"/>
      <c r="E3" s="99"/>
      <c r="F3" s="79"/>
      <c r="G3" s="76" t="s">
        <v>11</v>
      </c>
      <c r="H3" s="77"/>
      <c r="I3" s="99"/>
      <c r="J3" s="78"/>
    </row>
    <row r="4" spans="2:10" x14ac:dyDescent="0.25">
      <c r="B4" s="80" t="s">
        <v>1</v>
      </c>
      <c r="C4" s="81">
        <v>3</v>
      </c>
      <c r="D4" s="82">
        <v>0</v>
      </c>
      <c r="E4" s="82">
        <v>1</v>
      </c>
      <c r="F4" s="83">
        <v>1</v>
      </c>
      <c r="G4" s="81">
        <v>0</v>
      </c>
      <c r="H4" s="82">
        <v>1</v>
      </c>
      <c r="I4" s="82">
        <v>2</v>
      </c>
      <c r="J4" s="83">
        <v>0</v>
      </c>
    </row>
    <row r="5" spans="2:10" x14ac:dyDescent="0.25">
      <c r="B5" s="80" t="s">
        <v>2</v>
      </c>
      <c r="C5" s="81">
        <v>0</v>
      </c>
      <c r="D5" s="82">
        <v>0</v>
      </c>
      <c r="E5" s="82">
        <v>1</v>
      </c>
      <c r="F5" s="83">
        <v>1</v>
      </c>
      <c r="G5" s="81">
        <v>0</v>
      </c>
      <c r="H5" s="82">
        <v>0</v>
      </c>
      <c r="I5" s="82">
        <v>0</v>
      </c>
      <c r="J5" s="83">
        <v>2</v>
      </c>
    </row>
    <row r="6" spans="2:10" x14ac:dyDescent="0.25">
      <c r="B6" s="80" t="s">
        <v>3</v>
      </c>
      <c r="C6" s="81">
        <v>0</v>
      </c>
      <c r="D6" s="82">
        <v>1</v>
      </c>
      <c r="E6" s="82">
        <v>1</v>
      </c>
      <c r="F6" s="83">
        <v>0</v>
      </c>
      <c r="G6" s="81">
        <v>3</v>
      </c>
      <c r="H6" s="82">
        <v>0</v>
      </c>
      <c r="I6" s="82">
        <v>0</v>
      </c>
      <c r="J6" s="83">
        <v>0</v>
      </c>
    </row>
    <row r="7" spans="2:10" x14ac:dyDescent="0.25">
      <c r="B7" s="80" t="s">
        <v>4</v>
      </c>
      <c r="C7" s="81">
        <v>3</v>
      </c>
      <c r="D7" s="82">
        <v>2</v>
      </c>
      <c r="E7" s="82">
        <v>3</v>
      </c>
      <c r="F7" s="83">
        <v>2</v>
      </c>
      <c r="G7" s="81">
        <v>3</v>
      </c>
      <c r="H7" s="82">
        <v>5</v>
      </c>
      <c r="I7" s="82">
        <v>3</v>
      </c>
      <c r="J7" s="83">
        <v>2</v>
      </c>
    </row>
    <row r="8" spans="2:10" x14ac:dyDescent="0.25">
      <c r="B8" s="80"/>
      <c r="C8" s="81"/>
      <c r="D8" s="82"/>
      <c r="E8" s="82"/>
      <c r="F8" s="83"/>
      <c r="G8" s="81"/>
      <c r="H8" s="82"/>
      <c r="I8" s="82"/>
      <c r="J8" s="83"/>
    </row>
    <row r="9" spans="2:10" x14ac:dyDescent="0.25">
      <c r="B9" s="80" t="s">
        <v>1</v>
      </c>
      <c r="C9" s="37">
        <f>C4/C7*100</f>
        <v>100</v>
      </c>
      <c r="D9" s="86">
        <f t="shared" ref="D9:J9" si="0">D4/D7*100</f>
        <v>0</v>
      </c>
      <c r="E9" s="86">
        <f>E4/E7*100</f>
        <v>33.333333333333329</v>
      </c>
      <c r="F9" s="89">
        <f t="shared" si="0"/>
        <v>50</v>
      </c>
      <c r="G9" s="84">
        <f t="shared" si="0"/>
        <v>0</v>
      </c>
      <c r="H9" s="131">
        <f t="shared" si="0"/>
        <v>20</v>
      </c>
      <c r="I9" s="22">
        <f t="shared" si="0"/>
        <v>66.666666666666657</v>
      </c>
      <c r="J9" s="89">
        <f t="shared" si="0"/>
        <v>0</v>
      </c>
    </row>
    <row r="10" spans="2:10" x14ac:dyDescent="0.25">
      <c r="B10" s="80" t="s">
        <v>2</v>
      </c>
      <c r="C10" s="84">
        <f>C5/C7*100</f>
        <v>0</v>
      </c>
      <c r="D10" s="86">
        <f t="shared" ref="D10:J10" si="1">D5/D7*100</f>
        <v>0</v>
      </c>
      <c r="E10" s="129">
        <f>E5/E7*100</f>
        <v>33.333333333333329</v>
      </c>
      <c r="F10" s="89">
        <f t="shared" si="1"/>
        <v>50</v>
      </c>
      <c r="G10" s="84">
        <f t="shared" si="1"/>
        <v>0</v>
      </c>
      <c r="H10" s="86">
        <f t="shared" si="1"/>
        <v>0</v>
      </c>
      <c r="I10" s="86">
        <f t="shared" si="1"/>
        <v>0</v>
      </c>
      <c r="J10" s="87">
        <f t="shared" si="1"/>
        <v>100</v>
      </c>
    </row>
    <row r="11" spans="2:10" x14ac:dyDescent="0.25">
      <c r="B11" s="80" t="s">
        <v>3</v>
      </c>
      <c r="C11" s="90">
        <f>C6/C7*100</f>
        <v>0</v>
      </c>
      <c r="D11" s="94">
        <f t="shared" ref="D11:J11" si="2">D6/D7*100</f>
        <v>50</v>
      </c>
      <c r="E11" s="130">
        <f>E6/E7*100</f>
        <v>33.333333333333329</v>
      </c>
      <c r="F11" s="92">
        <f t="shared" si="2"/>
        <v>0</v>
      </c>
      <c r="G11" s="115">
        <f t="shared" si="2"/>
        <v>100</v>
      </c>
      <c r="H11" s="91">
        <f t="shared" si="2"/>
        <v>0</v>
      </c>
      <c r="I11" s="91">
        <f t="shared" si="2"/>
        <v>0</v>
      </c>
      <c r="J11" s="92">
        <f t="shared" si="2"/>
        <v>0</v>
      </c>
    </row>
    <row r="12" spans="2:10" x14ac:dyDescent="0.25">
      <c r="B12" s="80"/>
      <c r="C12" s="80"/>
      <c r="D12" s="80"/>
      <c r="E12" s="80"/>
      <c r="F12" s="80"/>
      <c r="G12" s="80"/>
      <c r="H12" s="80"/>
      <c r="I12" s="80"/>
      <c r="J12" s="80"/>
    </row>
    <row r="13" spans="2:10" x14ac:dyDescent="0.25">
      <c r="B13" s="80"/>
      <c r="C13" s="80"/>
      <c r="D13" s="80"/>
      <c r="E13" s="80"/>
      <c r="F13" s="80"/>
      <c r="G13" s="80"/>
      <c r="H13" s="80"/>
      <c r="I13" s="80"/>
      <c r="J13" s="80"/>
    </row>
    <row r="14" spans="2:10" x14ac:dyDescent="0.25">
      <c r="B14" s="82"/>
      <c r="C14" s="80"/>
      <c r="D14" s="80"/>
      <c r="E14" s="80"/>
      <c r="F14" s="80"/>
      <c r="G14" s="80"/>
      <c r="H14" s="80"/>
      <c r="I14" s="80"/>
      <c r="J14" s="80"/>
    </row>
    <row r="15" spans="2:10" x14ac:dyDescent="0.25">
      <c r="B15" s="82" t="s">
        <v>38</v>
      </c>
      <c r="C15" s="82" t="s">
        <v>8</v>
      </c>
      <c r="D15" s="82" t="s">
        <v>9</v>
      </c>
      <c r="E15" s="82" t="s">
        <v>10</v>
      </c>
      <c r="F15" s="80"/>
      <c r="G15" s="80"/>
      <c r="H15" s="80"/>
      <c r="I15" s="80"/>
      <c r="J15" s="80"/>
    </row>
    <row r="16" spans="2:10" x14ac:dyDescent="0.25">
      <c r="B16" s="82" t="s">
        <v>5</v>
      </c>
      <c r="C16" s="82">
        <f>COUNT(C4:M4)</f>
        <v>8</v>
      </c>
      <c r="D16" s="82"/>
      <c r="E16" s="82"/>
      <c r="F16" s="80"/>
      <c r="G16" s="80"/>
      <c r="H16" s="80"/>
      <c r="I16" s="80"/>
      <c r="J16" s="80"/>
    </row>
    <row r="17" spans="2:10" x14ac:dyDescent="0.25">
      <c r="B17" s="82" t="s">
        <v>6</v>
      </c>
      <c r="C17" s="82">
        <v>2</v>
      </c>
      <c r="D17" s="82">
        <f>C17/C16</f>
        <v>0.25</v>
      </c>
      <c r="E17" s="82">
        <f>SQRT((D17*(1-D17))/$C$16)</f>
        <v>0.15309310892394862</v>
      </c>
      <c r="F17" s="80"/>
      <c r="G17" s="80"/>
      <c r="H17" s="80"/>
      <c r="I17" s="80"/>
      <c r="J17" s="80"/>
    </row>
    <row r="18" spans="2:10" x14ac:dyDescent="0.25">
      <c r="B18" s="82" t="s">
        <v>7</v>
      </c>
      <c r="C18" s="82">
        <v>3</v>
      </c>
      <c r="D18" s="82">
        <f>C18/C16</f>
        <v>0.375</v>
      </c>
      <c r="E18" s="82">
        <f>SQRT((D18*(1-D18))/$C$16)</f>
        <v>0.17116329922036441</v>
      </c>
      <c r="F18" s="80"/>
      <c r="G18" s="80"/>
      <c r="H18" s="80"/>
      <c r="I18" s="80"/>
      <c r="J18" s="80"/>
    </row>
    <row r="21" spans="2:10" x14ac:dyDescent="0.25">
      <c r="B21" s="55" t="s">
        <v>36</v>
      </c>
      <c r="C21" s="56" t="s">
        <v>14</v>
      </c>
      <c r="D21" s="59"/>
      <c r="E21" s="59"/>
      <c r="F21" s="59"/>
      <c r="G21" s="60"/>
      <c r="H21" s="56" t="s">
        <v>15</v>
      </c>
      <c r="I21" s="59"/>
      <c r="J21" s="60"/>
    </row>
    <row r="22" spans="2:10" x14ac:dyDescent="0.25">
      <c r="B22" s="61" t="s">
        <v>1</v>
      </c>
      <c r="C22" s="62">
        <v>0</v>
      </c>
      <c r="D22" s="63">
        <v>3</v>
      </c>
      <c r="E22" s="63">
        <v>0</v>
      </c>
      <c r="F22" s="132">
        <v>0</v>
      </c>
      <c r="G22" s="133">
        <v>2</v>
      </c>
      <c r="H22" s="62">
        <v>0</v>
      </c>
      <c r="I22" s="63">
        <v>2</v>
      </c>
      <c r="J22" s="64">
        <v>0</v>
      </c>
    </row>
    <row r="23" spans="2:10" x14ac:dyDescent="0.25">
      <c r="B23" s="61" t="s">
        <v>2</v>
      </c>
      <c r="C23" s="62">
        <v>0</v>
      </c>
      <c r="D23" s="63">
        <v>0</v>
      </c>
      <c r="E23" s="63">
        <v>1</v>
      </c>
      <c r="F23" s="132">
        <v>2</v>
      </c>
      <c r="G23" s="133">
        <v>0</v>
      </c>
      <c r="H23" s="62">
        <v>4</v>
      </c>
      <c r="I23" s="63">
        <v>1</v>
      </c>
      <c r="J23" s="64">
        <v>1</v>
      </c>
    </row>
    <row r="24" spans="2:10" x14ac:dyDescent="0.25">
      <c r="B24" s="61" t="s">
        <v>3</v>
      </c>
      <c r="C24" s="62">
        <v>1</v>
      </c>
      <c r="D24" s="63">
        <v>0</v>
      </c>
      <c r="E24" s="63">
        <v>0</v>
      </c>
      <c r="F24" s="132">
        <v>1</v>
      </c>
      <c r="G24" s="133">
        <v>0</v>
      </c>
      <c r="H24" s="62">
        <v>1</v>
      </c>
      <c r="I24" s="63">
        <v>0</v>
      </c>
      <c r="J24" s="64">
        <v>1</v>
      </c>
    </row>
    <row r="25" spans="2:10" x14ac:dyDescent="0.25">
      <c r="B25" s="61" t="s">
        <v>4</v>
      </c>
      <c r="C25" s="62">
        <v>3</v>
      </c>
      <c r="D25" s="63">
        <v>3</v>
      </c>
      <c r="E25" s="63">
        <v>3</v>
      </c>
      <c r="F25" s="132">
        <v>4</v>
      </c>
      <c r="G25" s="134">
        <v>2</v>
      </c>
      <c r="H25" s="62">
        <v>5</v>
      </c>
      <c r="I25" s="63">
        <v>3</v>
      </c>
      <c r="J25" s="64">
        <v>2</v>
      </c>
    </row>
    <row r="26" spans="2:10" x14ac:dyDescent="0.25">
      <c r="B26" s="61"/>
      <c r="C26" s="62"/>
      <c r="D26" s="63"/>
      <c r="E26" s="63"/>
      <c r="F26" s="63"/>
      <c r="G26" s="64"/>
      <c r="H26" s="62"/>
      <c r="I26" s="63"/>
      <c r="J26" s="64"/>
    </row>
    <row r="27" spans="2:10" x14ac:dyDescent="0.25">
      <c r="B27" s="61" t="s">
        <v>1</v>
      </c>
      <c r="C27" s="69">
        <f t="shared" ref="C27:J27" si="3">C22/C25*100</f>
        <v>0</v>
      </c>
      <c r="D27" s="22">
        <f t="shared" si="3"/>
        <v>100</v>
      </c>
      <c r="E27" s="66">
        <f t="shared" si="3"/>
        <v>0</v>
      </c>
      <c r="F27" s="66">
        <f t="shared" si="3"/>
        <v>0</v>
      </c>
      <c r="G27" s="23">
        <f t="shared" si="3"/>
        <v>100</v>
      </c>
      <c r="H27" s="69">
        <f t="shared" si="3"/>
        <v>0</v>
      </c>
      <c r="I27" s="70">
        <f t="shared" si="3"/>
        <v>66.666666666666657</v>
      </c>
      <c r="J27" s="67">
        <f t="shared" si="3"/>
        <v>0</v>
      </c>
    </row>
    <row r="28" spans="2:10" x14ac:dyDescent="0.25">
      <c r="B28" s="61" t="s">
        <v>2</v>
      </c>
      <c r="C28" s="69">
        <f t="shared" ref="C28:J28" si="4">C23/C25*100</f>
        <v>0</v>
      </c>
      <c r="D28" s="66">
        <f t="shared" si="4"/>
        <v>0</v>
      </c>
      <c r="E28" s="66">
        <f t="shared" si="4"/>
        <v>33.333333333333329</v>
      </c>
      <c r="F28" s="70">
        <f t="shared" si="4"/>
        <v>50</v>
      </c>
      <c r="G28" s="67">
        <f t="shared" si="4"/>
        <v>0</v>
      </c>
      <c r="H28" s="65">
        <f t="shared" si="4"/>
        <v>80</v>
      </c>
      <c r="I28" s="66">
        <f t="shared" si="4"/>
        <v>33.333333333333329</v>
      </c>
      <c r="J28" s="67">
        <f t="shared" si="4"/>
        <v>50</v>
      </c>
    </row>
    <row r="29" spans="2:10" x14ac:dyDescent="0.25">
      <c r="B29" s="61" t="s">
        <v>3</v>
      </c>
      <c r="C29" s="71">
        <f t="shared" ref="C29:J29" si="5">C24/C25*100</f>
        <v>33.333333333333329</v>
      </c>
      <c r="D29" s="74">
        <f t="shared" si="5"/>
        <v>0</v>
      </c>
      <c r="E29" s="74">
        <f t="shared" si="5"/>
        <v>0</v>
      </c>
      <c r="F29" s="74">
        <f t="shared" si="5"/>
        <v>25</v>
      </c>
      <c r="G29" s="73">
        <f t="shared" si="5"/>
        <v>0</v>
      </c>
      <c r="H29" s="71">
        <f t="shared" si="5"/>
        <v>20</v>
      </c>
      <c r="I29" s="74">
        <f t="shared" si="5"/>
        <v>0</v>
      </c>
      <c r="J29" s="73">
        <f t="shared" si="5"/>
        <v>50</v>
      </c>
    </row>
    <row r="30" spans="2:10" x14ac:dyDescent="0.25">
      <c r="B30" s="61"/>
      <c r="C30" s="61"/>
      <c r="D30" s="61"/>
      <c r="E30" s="61"/>
      <c r="F30" s="61"/>
      <c r="G30" s="61"/>
      <c r="H30" s="61"/>
      <c r="I30" s="61"/>
      <c r="J30" s="61"/>
    </row>
    <row r="31" spans="2:10" x14ac:dyDescent="0.25">
      <c r="B31" s="61"/>
      <c r="C31" s="61"/>
      <c r="D31" s="61"/>
      <c r="E31" s="61"/>
      <c r="F31" s="61"/>
      <c r="G31" s="61"/>
      <c r="H31" s="61"/>
      <c r="I31" s="61"/>
      <c r="J31" s="61"/>
    </row>
    <row r="32" spans="2:10" x14ac:dyDescent="0.25">
      <c r="B32" s="63"/>
      <c r="C32" s="61"/>
      <c r="D32" s="61"/>
      <c r="E32" s="61"/>
      <c r="F32" s="61"/>
      <c r="G32" s="61"/>
      <c r="H32" s="61"/>
      <c r="I32" s="61"/>
      <c r="J32" s="61"/>
    </row>
    <row r="33" spans="2:10" x14ac:dyDescent="0.25">
      <c r="B33" s="63" t="s">
        <v>37</v>
      </c>
      <c r="C33" s="63" t="s">
        <v>8</v>
      </c>
      <c r="D33" s="63" t="s">
        <v>9</v>
      </c>
      <c r="E33" s="63" t="s">
        <v>10</v>
      </c>
      <c r="F33" s="61"/>
      <c r="G33" s="61"/>
      <c r="H33" s="61"/>
      <c r="I33" s="61"/>
      <c r="J33" s="61"/>
    </row>
    <row r="34" spans="2:10" x14ac:dyDescent="0.25">
      <c r="B34" s="63" t="s">
        <v>5</v>
      </c>
      <c r="C34" s="63">
        <f>COUNT(C22:M22)</f>
        <v>8</v>
      </c>
      <c r="D34" s="63"/>
      <c r="E34" s="63"/>
      <c r="F34" s="61"/>
      <c r="G34" s="61"/>
      <c r="H34" s="61"/>
      <c r="I34" s="61"/>
      <c r="J34" s="61"/>
    </row>
    <row r="35" spans="2:10" x14ac:dyDescent="0.25">
      <c r="B35" s="63" t="s">
        <v>6</v>
      </c>
      <c r="C35" s="63">
        <v>0</v>
      </c>
      <c r="D35" s="63">
        <f>C35/C34</f>
        <v>0</v>
      </c>
      <c r="E35" s="63">
        <f>SQRT((D35*(1-D35))/$C$34)</f>
        <v>0</v>
      </c>
      <c r="F35" s="61"/>
      <c r="G35" s="61"/>
      <c r="H35" s="61"/>
      <c r="I35" s="61"/>
      <c r="J35" s="61"/>
    </row>
    <row r="36" spans="2:10" x14ac:dyDescent="0.25">
      <c r="B36" s="63" t="s">
        <v>7</v>
      </c>
      <c r="C36" s="63">
        <v>2</v>
      </c>
      <c r="D36" s="63">
        <f>C36/C34</f>
        <v>0.25</v>
      </c>
      <c r="E36" s="63">
        <f>SQRT((D36*(1-D36))/$C$34)</f>
        <v>0.15309310892394862</v>
      </c>
      <c r="F36" s="61"/>
      <c r="G36" s="61"/>
      <c r="H36" s="61"/>
      <c r="I36" s="61"/>
      <c r="J36" s="61"/>
    </row>
    <row r="39" spans="2:10" x14ac:dyDescent="0.25">
      <c r="B39" s="75" t="s">
        <v>36</v>
      </c>
      <c r="C39" s="76" t="s">
        <v>17</v>
      </c>
      <c r="D39" s="99"/>
      <c r="E39" s="99"/>
      <c r="F39" s="99"/>
      <c r="G39" s="77"/>
      <c r="H39" s="99"/>
      <c r="I39" s="78"/>
    </row>
    <row r="40" spans="2:10" x14ac:dyDescent="0.25">
      <c r="B40" s="80" t="s">
        <v>1</v>
      </c>
      <c r="C40" s="81">
        <v>2</v>
      </c>
      <c r="D40" s="82">
        <v>0</v>
      </c>
      <c r="E40" s="82">
        <v>1</v>
      </c>
      <c r="F40" s="82">
        <v>1</v>
      </c>
      <c r="G40" s="82">
        <v>2</v>
      </c>
      <c r="H40" s="82">
        <v>1</v>
      </c>
      <c r="I40" s="83">
        <v>1</v>
      </c>
    </row>
    <row r="41" spans="2:10" x14ac:dyDescent="0.25">
      <c r="B41" s="80" t="s">
        <v>2</v>
      </c>
      <c r="C41" s="81">
        <v>0</v>
      </c>
      <c r="D41" s="82">
        <v>3</v>
      </c>
      <c r="E41" s="82">
        <v>0</v>
      </c>
      <c r="F41" s="82">
        <v>1</v>
      </c>
      <c r="G41" s="82">
        <v>0</v>
      </c>
      <c r="H41" s="82">
        <v>1</v>
      </c>
      <c r="I41" s="83">
        <v>0</v>
      </c>
    </row>
    <row r="42" spans="2:10" x14ac:dyDescent="0.25">
      <c r="B42" s="80" t="s">
        <v>3</v>
      </c>
      <c r="C42" s="81">
        <v>0</v>
      </c>
      <c r="D42" s="82">
        <v>0</v>
      </c>
      <c r="E42" s="82">
        <v>2</v>
      </c>
      <c r="F42" s="82">
        <v>1</v>
      </c>
      <c r="G42" s="82">
        <v>0</v>
      </c>
      <c r="H42" s="82">
        <v>2</v>
      </c>
      <c r="I42" s="83">
        <v>1</v>
      </c>
    </row>
    <row r="43" spans="2:10" x14ac:dyDescent="0.25">
      <c r="B43" s="80" t="s">
        <v>4</v>
      </c>
      <c r="C43" s="81">
        <v>2</v>
      </c>
      <c r="D43" s="82">
        <v>3</v>
      </c>
      <c r="E43" s="82">
        <v>3</v>
      </c>
      <c r="F43" s="82">
        <v>3</v>
      </c>
      <c r="G43" s="82">
        <v>3</v>
      </c>
      <c r="H43" s="82">
        <v>5</v>
      </c>
      <c r="I43" s="83">
        <v>2</v>
      </c>
    </row>
    <row r="44" spans="2:10" x14ac:dyDescent="0.25">
      <c r="B44" s="80"/>
      <c r="C44" s="81"/>
      <c r="D44" s="82"/>
      <c r="E44" s="82"/>
      <c r="F44" s="82"/>
      <c r="G44" s="82"/>
      <c r="H44" s="82"/>
      <c r="I44" s="83"/>
    </row>
    <row r="45" spans="2:10" x14ac:dyDescent="0.25">
      <c r="B45" s="80" t="s">
        <v>1</v>
      </c>
      <c r="C45" s="37">
        <f t="shared" ref="C45:I45" si="6">C40/C43*100</f>
        <v>100</v>
      </c>
      <c r="D45" s="86">
        <f t="shared" si="6"/>
        <v>0</v>
      </c>
      <c r="E45" s="86">
        <f t="shared" si="6"/>
        <v>33.333333333333329</v>
      </c>
      <c r="F45" s="86">
        <f t="shared" si="6"/>
        <v>33.333333333333329</v>
      </c>
      <c r="G45" s="22">
        <f>G40/G43*100</f>
        <v>66.666666666666657</v>
      </c>
      <c r="H45" s="86">
        <f t="shared" si="6"/>
        <v>20</v>
      </c>
      <c r="I45" s="89">
        <f t="shared" si="6"/>
        <v>50</v>
      </c>
    </row>
    <row r="46" spans="2:10" x14ac:dyDescent="0.25">
      <c r="B46" s="80" t="s">
        <v>2</v>
      </c>
      <c r="C46" s="84">
        <f t="shared" ref="C46:I46" si="7">C41/C43*100</f>
        <v>0</v>
      </c>
      <c r="D46" s="85">
        <f t="shared" si="7"/>
        <v>100</v>
      </c>
      <c r="E46" s="129">
        <f t="shared" si="7"/>
        <v>0</v>
      </c>
      <c r="F46" s="129">
        <f t="shared" si="7"/>
        <v>33.333333333333329</v>
      </c>
      <c r="G46" s="86">
        <f>G41/G43*100</f>
        <v>0</v>
      </c>
      <c r="H46" s="129">
        <f t="shared" si="7"/>
        <v>20</v>
      </c>
      <c r="I46" s="101">
        <f t="shared" si="7"/>
        <v>0</v>
      </c>
    </row>
    <row r="47" spans="2:10" x14ac:dyDescent="0.25">
      <c r="B47" s="80" t="s">
        <v>3</v>
      </c>
      <c r="C47" s="90">
        <f t="shared" ref="C47:I47" si="8">C42/C43*100</f>
        <v>0</v>
      </c>
      <c r="D47" s="91">
        <f t="shared" si="8"/>
        <v>0</v>
      </c>
      <c r="E47" s="93">
        <f t="shared" si="8"/>
        <v>66.666666666666657</v>
      </c>
      <c r="F47" s="130">
        <f t="shared" si="8"/>
        <v>33.333333333333329</v>
      </c>
      <c r="G47" s="91">
        <f>G42/G43*100</f>
        <v>0</v>
      </c>
      <c r="H47" s="93">
        <f t="shared" si="8"/>
        <v>40</v>
      </c>
      <c r="I47" s="109">
        <f t="shared" si="8"/>
        <v>50</v>
      </c>
    </row>
    <row r="48" spans="2:10" x14ac:dyDescent="0.25">
      <c r="B48" s="80"/>
      <c r="C48" s="80"/>
      <c r="D48" s="80"/>
      <c r="E48" s="80"/>
      <c r="F48" s="80"/>
      <c r="G48" s="80"/>
      <c r="H48" s="80"/>
      <c r="I48" s="80"/>
    </row>
    <row r="49" spans="2:9" x14ac:dyDescent="0.25">
      <c r="B49" s="80"/>
      <c r="C49" s="80"/>
      <c r="D49" s="80"/>
      <c r="E49" s="80"/>
      <c r="F49" s="80"/>
      <c r="G49" s="80"/>
      <c r="H49" s="80"/>
      <c r="I49" s="80"/>
    </row>
    <row r="50" spans="2:9" x14ac:dyDescent="0.25">
      <c r="B50" s="82"/>
      <c r="C50" s="80"/>
      <c r="D50" s="80"/>
      <c r="E50" s="80"/>
      <c r="F50" s="80"/>
      <c r="G50" s="80"/>
      <c r="H50" s="80"/>
      <c r="I50" s="80"/>
    </row>
    <row r="51" spans="2:9" x14ac:dyDescent="0.25">
      <c r="B51" s="82" t="s">
        <v>39</v>
      </c>
      <c r="C51" s="82" t="s">
        <v>8</v>
      </c>
      <c r="D51" s="82" t="s">
        <v>9</v>
      </c>
      <c r="E51" s="82" t="s">
        <v>10</v>
      </c>
      <c r="F51" s="80"/>
      <c r="G51" s="80"/>
      <c r="H51" s="80"/>
      <c r="I51" s="80"/>
    </row>
    <row r="52" spans="2:9" x14ac:dyDescent="0.25">
      <c r="B52" s="82" t="s">
        <v>5</v>
      </c>
      <c r="C52" s="82">
        <f>COUNT(C40:M40)</f>
        <v>7</v>
      </c>
      <c r="D52" s="82"/>
      <c r="E52" s="82"/>
      <c r="F52" s="80"/>
      <c r="G52" s="80"/>
      <c r="H52" s="80"/>
      <c r="I52" s="80"/>
    </row>
    <row r="53" spans="2:9" x14ac:dyDescent="0.25">
      <c r="B53" s="82" t="s">
        <v>6</v>
      </c>
      <c r="C53" s="82">
        <v>0</v>
      </c>
      <c r="D53" s="82">
        <f>C53/C52</f>
        <v>0</v>
      </c>
      <c r="E53" s="82">
        <f>SQRT((D53*(1-D53))/$C$16)</f>
        <v>0</v>
      </c>
      <c r="F53" s="80"/>
      <c r="G53" s="80"/>
      <c r="H53" s="80"/>
      <c r="I53" s="80"/>
    </row>
    <row r="54" spans="2:9" x14ac:dyDescent="0.25">
      <c r="B54" s="82" t="s">
        <v>7</v>
      </c>
      <c r="C54" s="82">
        <v>2</v>
      </c>
      <c r="D54" s="82">
        <f>C54/C52</f>
        <v>0.2857142857142857</v>
      </c>
      <c r="E54" s="82">
        <f>SQRT((D54*(1-D54))/$C$52)</f>
        <v>0.17074694419062766</v>
      </c>
      <c r="F54" s="80"/>
      <c r="G54" s="80"/>
      <c r="H54" s="80"/>
      <c r="I54" s="8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8"/>
  <sheetViews>
    <sheetView tabSelected="1" workbookViewId="0">
      <selection activeCell="E25" sqref="E25"/>
    </sheetView>
  </sheetViews>
  <sheetFormatPr defaultRowHeight="15" x14ac:dyDescent="0.25"/>
  <cols>
    <col min="2" max="2" width="21.140625" customWidth="1"/>
    <col min="7" max="7" width="9.140625" customWidth="1"/>
    <col min="8" max="8" width="15.5703125" customWidth="1"/>
    <col min="14" max="14" width="16.140625" customWidth="1"/>
  </cols>
  <sheetData>
    <row r="2" spans="2:17" x14ac:dyDescent="0.25">
      <c r="B2" s="120" t="s">
        <v>12</v>
      </c>
      <c r="C2" s="121"/>
      <c r="D2" s="121"/>
      <c r="E2" s="122"/>
      <c r="H2" s="120" t="s">
        <v>41</v>
      </c>
      <c r="I2" s="121"/>
      <c r="J2" s="121"/>
      <c r="K2" s="122"/>
      <c r="N2" s="120" t="s">
        <v>40</v>
      </c>
      <c r="O2" s="121"/>
      <c r="P2" s="121"/>
      <c r="Q2" s="122"/>
    </row>
    <row r="3" spans="2:17" x14ac:dyDescent="0.25">
      <c r="B3" s="4" t="s">
        <v>13</v>
      </c>
      <c r="C3" s="5" t="s">
        <v>8</v>
      </c>
      <c r="D3" s="5" t="s">
        <v>9</v>
      </c>
      <c r="E3" s="6" t="s">
        <v>10</v>
      </c>
      <c r="H3" s="4" t="s">
        <v>21</v>
      </c>
      <c r="I3" s="5" t="s">
        <v>8</v>
      </c>
      <c r="J3" s="5" t="s">
        <v>9</v>
      </c>
      <c r="K3" s="6" t="s">
        <v>10</v>
      </c>
      <c r="N3" s="4" t="s">
        <v>38</v>
      </c>
      <c r="O3" s="5" t="s">
        <v>8</v>
      </c>
      <c r="P3" s="5" t="s">
        <v>9</v>
      </c>
      <c r="Q3" s="6" t="s">
        <v>10</v>
      </c>
    </row>
    <row r="4" spans="2:17" x14ac:dyDescent="0.25">
      <c r="B4" s="4" t="s">
        <v>5</v>
      </c>
      <c r="C4" s="5">
        <v>7</v>
      </c>
      <c r="D4" s="5"/>
      <c r="E4" s="6"/>
      <c r="H4" s="4" t="s">
        <v>5</v>
      </c>
      <c r="I4" s="5">
        <v>11</v>
      </c>
      <c r="J4" s="5"/>
      <c r="K4" s="6"/>
      <c r="N4" s="4" t="s">
        <v>5</v>
      </c>
      <c r="O4" s="5">
        <v>8</v>
      </c>
      <c r="P4" s="5"/>
      <c r="Q4" s="6"/>
    </row>
    <row r="5" spans="2:17" x14ac:dyDescent="0.25">
      <c r="B5" s="4" t="s">
        <v>6</v>
      </c>
      <c r="C5" s="5">
        <v>1</v>
      </c>
      <c r="D5" s="5">
        <v>0.14285714285714285</v>
      </c>
      <c r="E5" s="6">
        <v>0.13226001425322165</v>
      </c>
      <c r="H5" s="4" t="s">
        <v>6</v>
      </c>
      <c r="I5" s="5">
        <v>1</v>
      </c>
      <c r="J5" s="5">
        <v>9.0909090909090912E-2</v>
      </c>
      <c r="K5" s="6">
        <v>8.667841720414475E-2</v>
      </c>
      <c r="N5" s="4" t="s">
        <v>6</v>
      </c>
      <c r="O5" s="5">
        <v>2</v>
      </c>
      <c r="P5" s="5">
        <v>0.25</v>
      </c>
      <c r="Q5" s="6">
        <v>0.15309310892394862</v>
      </c>
    </row>
    <row r="6" spans="2:17" x14ac:dyDescent="0.25">
      <c r="B6" s="4" t="s">
        <v>7</v>
      </c>
      <c r="C6" s="5">
        <v>0</v>
      </c>
      <c r="D6" s="5">
        <v>0</v>
      </c>
      <c r="E6" s="6">
        <v>0</v>
      </c>
      <c r="H6" s="4" t="s">
        <v>7</v>
      </c>
      <c r="I6" s="5">
        <v>2</v>
      </c>
      <c r="J6" s="5">
        <v>0.18181818181818182</v>
      </c>
      <c r="K6" s="6">
        <v>0.11629129983033297</v>
      </c>
      <c r="N6" s="4" t="s">
        <v>7</v>
      </c>
      <c r="O6" s="5">
        <v>3</v>
      </c>
      <c r="P6" s="5">
        <v>0.375</v>
      </c>
      <c r="Q6" s="6">
        <v>0.17116329922036441</v>
      </c>
    </row>
    <row r="7" spans="2:17" x14ac:dyDescent="0.25">
      <c r="B7" s="4"/>
      <c r="C7" s="5"/>
      <c r="D7" s="5"/>
      <c r="E7" s="6"/>
      <c r="H7" s="4"/>
      <c r="I7" s="5"/>
      <c r="J7" s="5"/>
      <c r="K7" s="6"/>
      <c r="N7" s="4"/>
      <c r="O7" s="5"/>
      <c r="P7" s="5"/>
      <c r="Q7" s="6"/>
    </row>
    <row r="8" spans="2:17" x14ac:dyDescent="0.25">
      <c r="B8" s="4"/>
      <c r="C8" s="5"/>
      <c r="D8" s="5"/>
      <c r="E8" s="6"/>
      <c r="H8" s="4"/>
      <c r="I8" s="5"/>
      <c r="J8" s="5"/>
      <c r="K8" s="6"/>
      <c r="N8" s="4"/>
      <c r="O8" s="5"/>
      <c r="P8" s="5"/>
      <c r="Q8" s="6"/>
    </row>
    <row r="9" spans="2:17" x14ac:dyDescent="0.25">
      <c r="B9" s="4" t="s">
        <v>16</v>
      </c>
      <c r="C9" s="5" t="s">
        <v>8</v>
      </c>
      <c r="D9" s="5" t="s">
        <v>9</v>
      </c>
      <c r="E9" s="6" t="s">
        <v>10</v>
      </c>
      <c r="H9" s="4" t="s">
        <v>23</v>
      </c>
      <c r="I9" s="5" t="s">
        <v>8</v>
      </c>
      <c r="J9" s="5" t="s">
        <v>9</v>
      </c>
      <c r="K9" s="6" t="s">
        <v>10</v>
      </c>
      <c r="N9" s="4" t="s">
        <v>37</v>
      </c>
      <c r="O9" s="5" t="s">
        <v>8</v>
      </c>
      <c r="P9" s="5" t="s">
        <v>9</v>
      </c>
      <c r="Q9" s="6" t="s">
        <v>10</v>
      </c>
    </row>
    <row r="10" spans="2:17" x14ac:dyDescent="0.25">
      <c r="B10" s="4" t="s">
        <v>5</v>
      </c>
      <c r="C10" s="5">
        <v>9</v>
      </c>
      <c r="D10" s="5"/>
      <c r="E10" s="6"/>
      <c r="H10" s="4" t="s">
        <v>5</v>
      </c>
      <c r="I10" s="5">
        <v>10</v>
      </c>
      <c r="J10" s="5"/>
      <c r="K10" s="6"/>
      <c r="N10" s="4" t="s">
        <v>5</v>
      </c>
      <c r="O10" s="5">
        <v>8</v>
      </c>
      <c r="P10" s="5"/>
      <c r="Q10" s="6"/>
    </row>
    <row r="11" spans="2:17" x14ac:dyDescent="0.25">
      <c r="B11" s="4" t="s">
        <v>6</v>
      </c>
      <c r="C11" s="5">
        <v>1</v>
      </c>
      <c r="D11" s="5">
        <v>0.1111111111111111</v>
      </c>
      <c r="E11" s="6">
        <v>0.10475656017578482</v>
      </c>
      <c r="H11" s="4" t="s">
        <v>6</v>
      </c>
      <c r="I11" s="5">
        <v>1</v>
      </c>
      <c r="J11" s="5">
        <v>0.1</v>
      </c>
      <c r="K11" s="6">
        <v>9.4868329805051388E-2</v>
      </c>
      <c r="N11" s="4" t="s">
        <v>6</v>
      </c>
      <c r="O11" s="5">
        <v>0</v>
      </c>
      <c r="P11" s="5">
        <v>0</v>
      </c>
      <c r="Q11" s="6">
        <v>0</v>
      </c>
    </row>
    <row r="12" spans="2:17" x14ac:dyDescent="0.25">
      <c r="B12" s="4" t="s">
        <v>7</v>
      </c>
      <c r="C12" s="5">
        <v>0</v>
      </c>
      <c r="D12" s="5">
        <v>0</v>
      </c>
      <c r="E12" s="6">
        <v>0</v>
      </c>
      <c r="H12" s="4" t="s">
        <v>7</v>
      </c>
      <c r="I12" s="5">
        <v>4</v>
      </c>
      <c r="J12" s="5">
        <v>0.4</v>
      </c>
      <c r="K12" s="6">
        <v>0.15491933384829668</v>
      </c>
      <c r="N12" s="4" t="s">
        <v>7</v>
      </c>
      <c r="O12" s="5">
        <v>2</v>
      </c>
      <c r="P12" s="5">
        <v>0.25</v>
      </c>
      <c r="Q12" s="6">
        <v>0.15309310892394862</v>
      </c>
    </row>
    <row r="13" spans="2:17" x14ac:dyDescent="0.25">
      <c r="B13" s="4"/>
      <c r="C13" s="5"/>
      <c r="D13" s="5"/>
      <c r="E13" s="6"/>
      <c r="H13" s="4"/>
      <c r="I13" s="5"/>
      <c r="J13" s="5"/>
      <c r="K13" s="6"/>
      <c r="N13" s="4"/>
      <c r="O13" s="5"/>
      <c r="P13" s="5"/>
      <c r="Q13" s="6"/>
    </row>
    <row r="14" spans="2:17" x14ac:dyDescent="0.25">
      <c r="B14" s="4"/>
      <c r="C14" s="5"/>
      <c r="D14" s="5"/>
      <c r="E14" s="6"/>
      <c r="H14" s="4"/>
      <c r="I14" s="5"/>
      <c r="J14" s="5"/>
      <c r="K14" s="6"/>
      <c r="N14" s="4"/>
      <c r="O14" s="5"/>
      <c r="P14" s="5"/>
      <c r="Q14" s="6"/>
    </row>
    <row r="15" spans="2:17" x14ac:dyDescent="0.25">
      <c r="B15" s="4" t="s">
        <v>18</v>
      </c>
      <c r="C15" s="5" t="s">
        <v>8</v>
      </c>
      <c r="D15" s="5" t="s">
        <v>9</v>
      </c>
      <c r="E15" s="6" t="s">
        <v>10</v>
      </c>
      <c r="H15" s="4" t="s">
        <v>22</v>
      </c>
      <c r="I15" s="5" t="s">
        <v>8</v>
      </c>
      <c r="J15" s="5" t="s">
        <v>9</v>
      </c>
      <c r="K15" s="6" t="s">
        <v>10</v>
      </c>
      <c r="N15" s="4" t="s">
        <v>39</v>
      </c>
      <c r="O15" s="5" t="s">
        <v>8</v>
      </c>
      <c r="P15" s="5" t="s">
        <v>9</v>
      </c>
      <c r="Q15" s="6" t="s">
        <v>10</v>
      </c>
    </row>
    <row r="16" spans="2:17" x14ac:dyDescent="0.25">
      <c r="B16" s="4" t="s">
        <v>5</v>
      </c>
      <c r="C16" s="5">
        <v>8</v>
      </c>
      <c r="D16" s="5"/>
      <c r="E16" s="6"/>
      <c r="H16" s="4" t="s">
        <v>5</v>
      </c>
      <c r="I16" s="5">
        <v>10</v>
      </c>
      <c r="J16" s="5"/>
      <c r="K16" s="6"/>
      <c r="N16" s="4" t="s">
        <v>5</v>
      </c>
      <c r="O16" s="5">
        <v>7</v>
      </c>
      <c r="P16" s="5"/>
      <c r="Q16" s="6"/>
    </row>
    <row r="17" spans="2:17" x14ac:dyDescent="0.25">
      <c r="B17" s="4" t="s">
        <v>6</v>
      </c>
      <c r="C17" s="5">
        <v>1</v>
      </c>
      <c r="D17" s="5">
        <v>0.125</v>
      </c>
      <c r="E17" s="6">
        <v>0.11692679333668567</v>
      </c>
      <c r="H17" s="4" t="s">
        <v>6</v>
      </c>
      <c r="I17" s="5">
        <v>1</v>
      </c>
      <c r="J17" s="5">
        <v>0.1</v>
      </c>
      <c r="K17" s="6">
        <v>9.4868329805051388E-2</v>
      </c>
      <c r="N17" s="4" t="s">
        <v>6</v>
      </c>
      <c r="O17" s="5">
        <v>0</v>
      </c>
      <c r="P17" s="5">
        <v>0</v>
      </c>
      <c r="Q17" s="6">
        <v>0</v>
      </c>
    </row>
    <row r="18" spans="2:17" x14ac:dyDescent="0.25">
      <c r="B18" s="119" t="s">
        <v>7</v>
      </c>
      <c r="C18" s="112">
        <v>2</v>
      </c>
      <c r="D18" s="112">
        <v>0.25</v>
      </c>
      <c r="E18" s="35">
        <v>0.15309310892394862</v>
      </c>
      <c r="H18" s="119" t="s">
        <v>7</v>
      </c>
      <c r="I18" s="112">
        <v>1</v>
      </c>
      <c r="J18" s="112">
        <v>0.1</v>
      </c>
      <c r="K18" s="35">
        <v>9.4868329805051388E-2</v>
      </c>
      <c r="N18" s="119" t="s">
        <v>7</v>
      </c>
      <c r="O18" s="112">
        <v>2</v>
      </c>
      <c r="P18" s="112">
        <v>0.2857142857142857</v>
      </c>
      <c r="Q18" s="35">
        <v>0.17074694419062766</v>
      </c>
    </row>
  </sheetData>
  <mergeCells count="3">
    <mergeCell ref="N2:Q2"/>
    <mergeCell ref="B2:E2"/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Proliferative D8-20</vt:lpstr>
      <vt:lpstr>Asym D8-20</vt:lpstr>
      <vt:lpstr>Small Neuro D8-20</vt:lpstr>
      <vt:lpstr>D8-20 Summary</vt:lpstr>
      <vt:lpstr>Proliferative D13-20</vt:lpstr>
      <vt:lpstr>Asym D13-20</vt:lpstr>
      <vt:lpstr>Small Neuro D13-20</vt:lpstr>
      <vt:lpstr>D13-20 Summary</vt:lpstr>
    </vt:vector>
  </TitlesOfParts>
  <Company>IST Austria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MIRANDA</dc:creator>
  <cp:lastModifiedBy>Osvaldo MIRANDA</cp:lastModifiedBy>
  <dcterms:created xsi:type="dcterms:W3CDTF">2026-02-06T10:15:34Z</dcterms:created>
  <dcterms:modified xsi:type="dcterms:W3CDTF">2026-02-06T13:09:17Z</dcterms:modified>
</cp:coreProperties>
</file>