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igure 2" sheetId="1" state="visible" r:id="rId2"/>
    <sheet name="Figure 3" sheetId="2" state="visible" r:id="rId3"/>
    <sheet name="Extended Data" sheetId="3" state="visible" r:id="rId4"/>
    <sheet name="Data by Line" sheetId="4" state="visible" r:id="rId5"/>
    <sheet name="Figure 4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<sst xmlns="http://schemas.openxmlformats.org/spreadsheetml/2006/main" count="884" uniqueCount="291">
  <si>
    <t xml:space="preserve">Figure 2</t>
  </si>
  <si>
    <t xml:space="preserve">Panel </t>
  </si>
  <si>
    <t xml:space="preserve">Clone time point</t>
  </si>
  <si>
    <t xml:space="preserve">Clone size</t>
  </si>
  <si>
    <t xml:space="preserve">No. organoids </t>
  </si>
  <si>
    <t xml:space="preserve">Statistical test </t>
  </si>
  <si>
    <t xml:space="preserve">Panel</t>
  </si>
  <si>
    <t xml:space="preserve">Number clones</t>
  </si>
  <si>
    <t xml:space="preserve">Percent of all clones</t>
  </si>
  <si>
    <t xml:space="preserve">Mean</t>
  </si>
  <si>
    <t xml:space="preserve">SEM </t>
  </si>
  <si>
    <t xml:space="preserve">No. clones</t>
  </si>
  <si>
    <t xml:space="preserve">Prolif</t>
  </si>
  <si>
    <t xml:space="preserve">Asym</t>
  </si>
  <si>
    <t xml:space="preserve">Small </t>
  </si>
  <si>
    <t xml:space="preserve">total </t>
  </si>
  <si>
    <t xml:space="preserve">SEMp</t>
  </si>
  <si>
    <t xml:space="preserve">G</t>
  </si>
  <si>
    <t xml:space="preserve">D8</t>
  </si>
  <si>
    <r>
      <rPr>
        <i val="true"/>
        <sz val="11"/>
        <color rgb="FF000000"/>
        <rFont val="Calibri"/>
        <family val="2"/>
        <charset val="1"/>
      </rPr>
      <t xml:space="preserve">P</t>
    </r>
    <r>
      <rPr>
        <sz val="11"/>
        <color rgb="FF000000"/>
        <rFont val="Calibri"/>
        <family val="2"/>
        <charset val="1"/>
      </rPr>
      <t xml:space="preserve"> value</t>
    </r>
  </si>
  <si>
    <t xml:space="preserve">K-W statistic</t>
  </si>
  <si>
    <t xml:space="preserve">Mean rank 1</t>
  </si>
  <si>
    <t xml:space="preserve">Mean rank 2</t>
  </si>
  <si>
    <t xml:space="preserve">Mean rank diff.</t>
  </si>
  <si>
    <t xml:space="preserve">n1</t>
  </si>
  <si>
    <t xml:space="preserve">n2</t>
  </si>
  <si>
    <t xml:space="preserve">Z</t>
  </si>
  <si>
    <t xml:space="preserve">K</t>
  </si>
  <si>
    <t xml:space="preserve">All clones</t>
  </si>
  <si>
    <t xml:space="preserve">D9</t>
  </si>
  <si>
    <t xml:space="preserve">Kruskal-Wallis test</t>
  </si>
  <si>
    <t xml:space="preserve">D8-D15</t>
  </si>
  <si>
    <t xml:space="preserve">D10</t>
  </si>
  <si>
    <t xml:space="preserve">Dunn's multiple comparisons </t>
  </si>
  <si>
    <t xml:space="preserve">D8 v D9</t>
  </si>
  <si>
    <t xml:space="preserve">&gt;0.9999</t>
  </si>
  <si>
    <t xml:space="preserve">D11</t>
  </si>
  <si>
    <t xml:space="preserve">D9 v D10</t>
  </si>
  <si>
    <t xml:space="preserve">D12</t>
  </si>
  <si>
    <t xml:space="preserve">D10 v D11</t>
  </si>
  <si>
    <t xml:space="preserve">D13</t>
  </si>
  <si>
    <t xml:space="preserve">D11 v D12</t>
  </si>
  <si>
    <t xml:space="preserve">D15</t>
  </si>
  <si>
    <t xml:space="preserve">D12 v D13</t>
  </si>
  <si>
    <t xml:space="preserve">D13 v D15</t>
  </si>
  <si>
    <t xml:space="preserve">H</t>
  </si>
  <si>
    <t xml:space="preserve">D8-D13</t>
  </si>
  <si>
    <t xml:space="preserve">I</t>
  </si>
  <si>
    <t xml:space="preserve">Asym. </t>
  </si>
  <si>
    <t xml:space="preserve">J</t>
  </si>
  <si>
    <t xml:space="preserve">Small</t>
  </si>
  <si>
    <t xml:space="preserve">Clone type</t>
  </si>
  <si>
    <t xml:space="preserve">No. clones containing: </t>
  </si>
  <si>
    <t xml:space="preserve">Precent all clones</t>
  </si>
  <si>
    <t xml:space="preserve">Standard Error of Proportion</t>
  </si>
  <si>
    <t xml:space="preserve">Ctip2 only</t>
  </si>
  <si>
    <t xml:space="preserve">Satb2 only</t>
  </si>
  <si>
    <t xml:space="preserve">K (left, D8)</t>
  </si>
  <si>
    <t xml:space="preserve">Prolif. </t>
  </si>
  <si>
    <t xml:space="preserve">Note: clone data in this figure is partially included in the n and statistics of Figure 2</t>
  </si>
  <si>
    <t xml:space="preserve">K (right, D13)</t>
  </si>
  <si>
    <t xml:space="preserve">D8-D20 Two-way ANOVA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</si>
  <si>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</si>
  <si>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</si>
  <si>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</si>
  <si>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</si>
  <si>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</si>
  <si>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comp</t>
  </si>
  <si>
    <t xml:space="preserve">layer (CTIP2 or SATB2)</t>
  </si>
  <si>
    <t xml:space="preserve">clone_type</t>
  </si>
  <si>
    <t xml:space="preserve">layer:clone_type</t>
  </si>
  <si>
    <t xml:space="preserve">Residuals</t>
  </si>
  <si>
    <t xml:space="preserve">D13-D20 Two-way ANOVA</t>
  </si>
  <si>
    <t xml:space="preserve">Condition</t>
  </si>
  <si>
    <t xml:space="preserve">No. clones </t>
  </si>
  <si>
    <t xml:space="preserve">Percent </t>
  </si>
  <si>
    <t xml:space="preserve">lineage restricted</t>
  </si>
  <si>
    <t xml:space="preserve">restricted</t>
  </si>
  <si>
    <t xml:space="preserve">L</t>
  </si>
  <si>
    <t xml:space="preserve">Organoid D8</t>
  </si>
  <si>
    <t xml:space="preserve">Organoid D13</t>
  </si>
  <si>
    <t xml:space="preserve">*In vivo</t>
  </si>
  <si>
    <r>
      <rPr>
        <i val="true"/>
        <sz val="11"/>
        <color rgb="FF000000"/>
        <rFont val="Calibri"/>
        <family val="2"/>
        <charset val="1"/>
      </rPr>
      <t xml:space="preserve">*In vivo</t>
    </r>
    <r>
      <rPr>
        <sz val="11"/>
        <color rgb="FF000000"/>
        <rFont val="Calibri"/>
        <family val="2"/>
        <charset val="1"/>
      </rPr>
      <t xml:space="preserve"> data sources: </t>
    </r>
  </si>
  <si>
    <t xml:space="preserve">Publication </t>
  </si>
  <si>
    <t xml:space="preserve">Time point</t>
  </si>
  <si>
    <t xml:space="preserve">Method of analysis </t>
  </si>
  <si>
    <t xml:space="preserve">Gao et al. (Fig. 4C)</t>
  </si>
  <si>
    <t xml:space="preserve">E10-12</t>
  </si>
  <si>
    <t xml:space="preserve">laminar position based on DAPI</t>
  </si>
  <si>
    <t xml:space="preserve">Gao et al. (Fig. S5)</t>
  </si>
  <si>
    <t xml:space="preserve">Immunostaining layer specific markers</t>
  </si>
  <si>
    <t xml:space="preserve">Llorca et al., (Fig 3D)</t>
  </si>
  <si>
    <t xml:space="preserve">E12</t>
  </si>
  <si>
    <t xml:space="preserve">Ext. Data Fig. 1</t>
  </si>
  <si>
    <t xml:space="preserve">Panels G &amp; P</t>
  </si>
  <si>
    <t xml:space="preserve">Cell Line</t>
  </si>
  <si>
    <t xml:space="preserve"># Cells w/Normal Karyotype</t>
  </si>
  <si>
    <t xml:space="preserve"># Cells w/Chr. 8 Trisomy</t>
  </si>
  <si>
    <t xml:space="preserve"># Cells w/Chr. 11 Trisomy</t>
  </si>
  <si>
    <t xml:space="preserve">A1</t>
  </si>
  <si>
    <t xml:space="preserve">A2</t>
  </si>
  <si>
    <t xml:space="preserve">B1</t>
  </si>
  <si>
    <t xml:space="preserve">B2</t>
  </si>
  <si>
    <t xml:space="preserve">Ext. Data Fig. 9</t>
  </si>
  <si>
    <t xml:space="preserve">Panels I-J</t>
  </si>
  <si>
    <t xml:space="preserve"># Cells w/41-42 Chromosomes</t>
  </si>
  <si>
    <t xml:space="preserve"># Cells w/40 Chromosomes</t>
  </si>
  <si>
    <t xml:space="preserve"># Cells w/37-39 Chromosomes</t>
  </si>
  <si>
    <t xml:space="preserve">Mean Chr. Number</t>
  </si>
  <si>
    <t xml:space="preserve">A7</t>
  </si>
  <si>
    <t xml:space="preserve">F27</t>
  </si>
  <si>
    <t xml:space="preserve">Ext. Data Fig. 10</t>
  </si>
  <si>
    <t xml:space="preserve">Panel L</t>
  </si>
  <si>
    <t xml:space="preserve">Number of cells</t>
  </si>
  <si>
    <t xml:space="preserve">MADM+PAX6+</t>
  </si>
  <si>
    <t xml:space="preserve">MADM+TBR2+</t>
  </si>
  <si>
    <t xml:space="preserve">MADM+CTIP2+</t>
  </si>
  <si>
    <t xml:space="preserve">MADM+SATB2+</t>
  </si>
  <si>
    <t xml:space="preserve">D16</t>
  </si>
  <si>
    <t xml:space="preserve">D20</t>
  </si>
  <si>
    <t xml:space="preserve">Ext. Data Fig. 11</t>
  </si>
  <si>
    <t xml:space="preserve">Time point D10 </t>
  </si>
  <si>
    <t xml:space="preserve">% CASP+MADM+/MADM+ cells</t>
  </si>
  <si>
    <t xml:space="preserve">No. organoids</t>
  </si>
  <si>
    <t xml:space="preserve">Batch 1</t>
  </si>
  <si>
    <t xml:space="preserve">Batch 2</t>
  </si>
  <si>
    <t xml:space="preserve">Batch 3</t>
  </si>
  <si>
    <t xml:space="preserve">Time point D13 </t>
  </si>
  <si>
    <t xml:space="preserve">Time point D16 </t>
  </si>
  <si>
    <t xml:space="preserve">MADM+</t>
  </si>
  <si>
    <t xml:space="preserve">MADM+CASPASE+</t>
  </si>
  <si>
    <t xml:space="preserve">% of cells</t>
  </si>
  <si>
    <t xml:space="preserve">Upper 95% CI</t>
  </si>
  <si>
    <t xml:space="preserve">Lower 95% CI</t>
  </si>
  <si>
    <t xml:space="preserve">R</t>
  </si>
  <si>
    <t xml:space="preserve">Center</t>
  </si>
  <si>
    <t xml:space="preserve">Periphery</t>
  </si>
  <si>
    <t xml:space="preserve">S</t>
  </si>
  <si>
    <t xml:space="preserve">Ext. Data Fig. 12</t>
  </si>
  <si>
    <t xml:space="preserve">5C</t>
  </si>
  <si>
    <t xml:space="preserve">2A</t>
  </si>
  <si>
    <t xml:space="preserve">3A</t>
  </si>
  <si>
    <t xml:space="preserve">Ext. Data Fig. 14</t>
  </si>
  <si>
    <t xml:space="preserve">No. brains</t>
  </si>
  <si>
    <t xml:space="preserve">B</t>
  </si>
  <si>
    <t xml:space="preserve">E10-21</t>
  </si>
  <si>
    <t xml:space="preserve">Fraction of all clones</t>
  </si>
  <si>
    <t xml:space="preserve">Upper 95%CI</t>
  </si>
  <si>
    <t xml:space="preserve">C</t>
  </si>
  <si>
    <t xml:space="preserve">Data related to Figure 2</t>
  </si>
  <si>
    <t xml:space="preserve">Ext. Data Fig. 15</t>
  </si>
  <si>
    <t xml:space="preserve">Clone induction time point</t>
  </si>
  <si>
    <t xml:space="preserve">Subclone ratio </t>
  </si>
  <si>
    <t xml:space="preserve">Ext. Data Fig. 16</t>
  </si>
  <si>
    <t xml:space="preserve">For A-C: See Table X</t>
  </si>
  <si>
    <r>
      <rPr>
        <sz val="11"/>
        <color rgb="FF000000"/>
        <rFont val="Calibri"/>
        <family val="2"/>
        <charset val="1"/>
      </rPr>
      <t xml:space="preserve">D-E: </t>
    </r>
    <r>
      <rPr>
        <i val="true"/>
        <sz val="11"/>
        <color rgb="FF000000"/>
        <rFont val="Calibri"/>
        <family val="2"/>
        <charset val="1"/>
      </rPr>
      <t xml:space="preserve">Data related to Figure 2</t>
    </r>
  </si>
  <si>
    <t xml:space="preserve">Ext. Data Fig. 17</t>
  </si>
  <si>
    <t xml:space="preserve">M</t>
  </si>
  <si>
    <r>
      <rPr>
        <sz val="11"/>
        <color rgb="FF000000"/>
        <rFont val="Calibri"/>
        <family val="2"/>
        <charset val="1"/>
      </rPr>
      <t xml:space="preserve">D20: </t>
    </r>
    <r>
      <rPr>
        <i val="true"/>
        <sz val="11"/>
        <color rgb="FF000000"/>
        <rFont val="Calibri"/>
        <family val="2"/>
        <charset val="1"/>
      </rPr>
      <t xml:space="preserve">Data related to Figure 2</t>
    </r>
  </si>
  <si>
    <t xml:space="preserve">Ext. Data Fig. 18</t>
  </si>
  <si>
    <t xml:space="preserve">Proliferative</t>
  </si>
  <si>
    <t xml:space="preserve">Asymmetric Neurogenic</t>
  </si>
  <si>
    <t xml:space="preserve">Small Neurogenic</t>
  </si>
  <si>
    <t xml:space="preserve">SEM</t>
  </si>
  <si>
    <t xml:space="preserve">No. Clones</t>
  </si>
  <si>
    <t xml:space="preserve">Ext. Data Fig. 19</t>
  </si>
  <si>
    <t xml:space="preserve">Sphericity Mean</t>
  </si>
  <si>
    <t xml:space="preserve">Mean No. of Clones</t>
  </si>
  <si>
    <t xml:space="preserve">Pearson Correlation P-Value</t>
  </si>
  <si>
    <t xml:space="preserve">No. of Clone Types</t>
  </si>
  <si>
    <t xml:space="preserve">Mean Volume</t>
  </si>
  <si>
    <t xml:space="preserve">Dunn's multiple comparisons test</t>
  </si>
  <si>
    <t xml:space="preserve">Summary</t>
  </si>
  <si>
    <t xml:space="preserve">Adjusted P Value</t>
  </si>
  <si>
    <t xml:space="preserve">D</t>
  </si>
  <si>
    <t xml:space="preserve">1 vs. 2</t>
  </si>
  <si>
    <t xml:space="preserve">ns</t>
  </si>
  <si>
    <t xml:space="preserve">1 vs. 3</t>
  </si>
  <si>
    <t xml:space="preserve">2 vs. 3</t>
  </si>
  <si>
    <t xml:space="preserve">1</t>
  </si>
  <si>
    <t xml:space="preserve">2</t>
  </si>
  <si>
    <t xml:space="preserve">3</t>
  </si>
  <si>
    <t xml:space="preserve">Fraction</t>
  </si>
  <si>
    <t xml:space="preserve">E</t>
  </si>
  <si>
    <t xml:space="preserve">Ext. Data Fig. 20</t>
  </si>
  <si>
    <t xml:space="preserve">Sample</t>
  </si>
  <si>
    <t xml:space="preserve">w/Glia</t>
  </si>
  <si>
    <t xml:space="preserve">No Glia</t>
  </si>
  <si>
    <r>
      <rPr>
        <sz val="11"/>
        <color rgb="FF000000"/>
        <rFont val="Calibri"/>
        <family val="2"/>
        <charset val="1"/>
      </rPr>
      <t xml:space="preserve">*</t>
    </r>
    <r>
      <rPr>
        <i val="true"/>
        <sz val="11"/>
        <color rgb="FF000000"/>
        <rFont val="Calibri"/>
        <family val="2"/>
        <charset val="1"/>
      </rPr>
      <t xml:space="preserve">In vivo</t>
    </r>
    <r>
      <rPr>
        <sz val="11"/>
        <color rgb="FF000000"/>
        <rFont val="Calibri"/>
        <family val="2"/>
        <charset val="1"/>
      </rPr>
      <t xml:space="preserve"> data sources: </t>
    </r>
  </si>
  <si>
    <t xml:space="preserve">D8-20</t>
  </si>
  <si>
    <t xml:space="preserve">D8-25</t>
  </si>
  <si>
    <t xml:space="preserve">Gao et al. (Fig. 7C)</t>
  </si>
  <si>
    <t xml:space="preserve">in vivo*</t>
  </si>
  <si>
    <t xml:space="preserve">A</t>
  </si>
  <si>
    <t xml:space="preserve">Batch 1 Proliferative</t>
  </si>
  <si>
    <t xml:space="preserve">Number</t>
  </si>
  <si>
    <t xml:space="preserve">Total Clones</t>
  </si>
  <si>
    <t xml:space="preserve">SATB2 Only</t>
  </si>
  <si>
    <t xml:space="preserve">CTIP2 Only</t>
  </si>
  <si>
    <t xml:space="preserve">Batch 2 Proliferative</t>
  </si>
  <si>
    <t xml:space="preserve">Batch 3 Proliferative</t>
  </si>
  <si>
    <t xml:space="preserve">Asymmetric</t>
  </si>
  <si>
    <t xml:space="preserve">Batch 1 Asym</t>
  </si>
  <si>
    <t xml:space="preserve">Batch 4 Proliferative</t>
  </si>
  <si>
    <t xml:space="preserve">Batch 2 Asym</t>
  </si>
  <si>
    <t xml:space="preserve">Batch 3 Asym</t>
  </si>
  <si>
    <t xml:space="preserve">Batch 1 Small N.</t>
  </si>
  <si>
    <t xml:space="preserve">Batch 2 Small N.</t>
  </si>
  <si>
    <t xml:space="preserve">Batch 4 Asym</t>
  </si>
  <si>
    <t xml:space="preserve">Batch 1 Small N</t>
  </si>
  <si>
    <t xml:space="preserve">Batch 3 Small N.</t>
  </si>
  <si>
    <t xml:space="preserve">Batch 2 Small N</t>
  </si>
  <si>
    <t xml:space="preserve">Batch 3 Small N</t>
  </si>
  <si>
    <t xml:space="preserve">Batch 4 Small N</t>
  </si>
  <si>
    <t xml:space="preserve">Ext. Data Fig. 23 </t>
  </si>
  <si>
    <t xml:space="preserve">Median</t>
  </si>
  <si>
    <t xml:space="preserve">group</t>
  </si>
  <si>
    <t xml:space="preserve"># cells</t>
  </si>
  <si>
    <t xml:space="preserve">b</t>
  </si>
  <si>
    <t xml:space="preserve">inter</t>
  </si>
  <si>
    <t xml:space="preserve">intra</t>
  </si>
  <si>
    <t xml:space="preserve">p_val</t>
  </si>
  <si>
    <t xml:space="preserve">p_val_adj</t>
  </si>
  <si>
    <t xml:space="preserve">avg_log2FC</t>
  </si>
  <si>
    <t xml:space="preserve">c</t>
  </si>
  <si>
    <t xml:space="preserve">Foxp2</t>
  </si>
  <si>
    <t xml:space="preserve">Sox5</t>
  </si>
  <si>
    <t xml:space="preserve">Bcl11b</t>
  </si>
  <si>
    <t xml:space="preserve">Pou3f3</t>
  </si>
  <si>
    <t xml:space="preserve">Satb2</t>
  </si>
  <si>
    <t xml:space="preserve">Cux2</t>
  </si>
  <si>
    <t xml:space="preserve">Layer distr.</t>
  </si>
  <si>
    <t xml:space="preserve"># clones</t>
  </si>
  <si>
    <t xml:space="preserve">fraction</t>
  </si>
  <si>
    <t xml:space="preserve">95% CI</t>
  </si>
  <si>
    <t xml:space="preserve">Upper</t>
  </si>
  <si>
    <t xml:space="preserve">Lower</t>
  </si>
  <si>
    <t xml:space="preserve">d</t>
  </si>
  <si>
    <t xml:space="preserve">Translaminar</t>
  </si>
  <si>
    <t xml:space="preserve">DL restr</t>
  </si>
  <si>
    <t xml:space="preserve">UL restr</t>
  </si>
  <si>
    <t xml:space="preserve">e</t>
  </si>
  <si>
    <t xml:space="preserve">(b) ANOVA</t>
  </si>
  <si>
    <t xml:space="preserve">Clone type:group</t>
  </si>
  <si>
    <t xml:space="preserve">(b) Tukey Honest Significant Differences</t>
  </si>
  <si>
    <t xml:space="preserve">diff</t>
  </si>
  <si>
    <t xml:space="preserve">lwr</t>
  </si>
  <si>
    <t xml:space="preserve">upr</t>
  </si>
  <si>
    <t xml:space="preserve">p adj</t>
  </si>
  <si>
    <t xml:space="preserve">Small:inter-Asym:inter</t>
  </si>
  <si>
    <t xml:space="preserve">Asym:intra-Asym:inter</t>
  </si>
  <si>
    <t xml:space="preserve">Small:intra-Asym:inter</t>
  </si>
  <si>
    <t xml:space="preserve">Asym:intra-Small:inter</t>
  </si>
  <si>
    <t xml:space="preserve">Small:intra-Small:inter</t>
  </si>
  <si>
    <t xml:space="preserve">Small:intra-Asym:intra</t>
  </si>
  <si>
    <t xml:space="preserve">(d) Chi Square Asym</t>
  </si>
  <si>
    <t xml:space="preserve">Data:</t>
  </si>
  <si>
    <t xml:space="preserve">UL restr / SATB2 only</t>
  </si>
  <si>
    <t xml:space="preserve">DL restr / CTIP2 only</t>
  </si>
  <si>
    <t xml:space="preserve">other</t>
  </si>
  <si>
    <t xml:space="preserve">in vivo</t>
  </si>
  <si>
    <t xml:space="preserve">from Ext. Figure 20b</t>
  </si>
  <si>
    <t xml:space="preserve">in vitro</t>
  </si>
  <si>
    <t xml:space="preserve">Test of Independence (Chi-Square)</t>
  </si>
  <si>
    <t xml:space="preserve">Alpha</t>
  </si>
  <si>
    <t xml:space="preserve">df</t>
  </si>
  <si>
    <t xml:space="preserve">P-value</t>
  </si>
  <si>
    <t xml:space="preserve">Test Statistic</t>
  </si>
  <si>
    <t xml:space="preserve">Critical Value</t>
  </si>
  <si>
    <t xml:space="preserve">(d) Chi Square Small</t>
  </si>
  <si>
    <t xml:space="preserve">(e) ANOVA</t>
  </si>
  <si>
    <t xml:space="preserve">Layer distr</t>
  </si>
  <si>
    <t xml:space="preserve">Layer distr:Clone type</t>
  </si>
  <si>
    <t xml:space="preserve">&lt;0.0001</t>
  </si>
  <si>
    <t xml:space="preserve">-</t>
  </si>
  <si>
    <t xml:space="preserve">Figure 4</t>
  </si>
  <si>
    <t xml:space="preserve">g</t>
  </si>
  <si>
    <t xml:space="preserve">h</t>
  </si>
  <si>
    <t xml:space="preserve">(g) Welch Two Sample t-test</t>
  </si>
  <si>
    <t xml:space="preserve">t = -2.8704, df = 188.93, p-value = 0.004567</t>
  </si>
  <si>
    <t xml:space="preserve">alternative hypothesis: true difference in means is not equal to 0</t>
  </si>
  <si>
    <t xml:space="preserve">95 percent confidence interval:</t>
  </si>
  <si>
    <t xml:space="preserve">sample estimates:</t>
  </si>
  <si>
    <t xml:space="preserve">mean of x</t>
  </si>
  <si>
    <t xml:space="preserve">mean of y </t>
  </si>
  <si>
    <t xml:space="preserve">(h) ANOVA</t>
  </si>
  <si>
    <t xml:space="preserve">Clone Type</t>
  </si>
  <si>
    <t xml:space="preserve">(h) Tukey Honest Significant Differences</t>
  </si>
  <si>
    <t xml:space="preserve">Translaminar : DL restr</t>
  </si>
  <si>
    <t xml:space="preserve">UL restr : DL restr</t>
  </si>
  <si>
    <t xml:space="preserve">UL restr : Translaminar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</si>
</sst>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"/>
    <numFmt numFmtId="167" formatCode="0.00"/>
    <numFmt numFmtId="168" formatCode="0.0000"/>
    <numFmt numFmtId="169" formatCode="0.000"/>
    <numFmt numFmtId="170" formatCode="0.00%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name val="Arial"/>
      <family val="0"/>
      <charset val="1"/>
    </font>
    <font>
      <i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sz val="12"/>
      <color rgb="FF000000"/>
      <name val="Calibri"/>
      <family val="2"/>
      <charset val="1"/>
    </font>
    <font>
      <sz val="11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CCFFFF"/>
      </patternFill>
    </fill>
    <fill>
      <patternFill patternType="solid">
        <fgColor rgb="FFFFF2CC"/>
        <bgColor rgb="FFFFFFD7"/>
      </patternFill>
    </fill>
    <fill>
      <patternFill patternType="solid">
        <fgColor rgb="FFFFFFD7"/>
        <bgColor rgb="FFFFF2CC"/>
      </patternFill>
    </fill>
  </fills>
  <borders count="52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4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4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2C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C37"/>
  <sheetViews>
    <sheetView showFormulas="false" showGridLines="true" showRowColHeaders="true" showZeros="true" rightToLeft="false" tabSelected="false" showOutlineSymbols="true" defaultGridColor="true" view="normal" topLeftCell="A28" colorId="64" zoomScale="130" zoomScaleNormal="130" zoomScalePageLayoutView="100" workbookViewId="0">
      <selection pane="topLeft" activeCell="G6" activeCellId="0" sqref="G6"/>
    </sheetView>
  </sheetViews>
  <sheetFormatPr defaultColWidth="8.5859375" defaultRowHeight="15" zeroHeight="false" outlineLevelRow="0" outlineLevelCol="0"/>
  <cols>
    <col collapsed="false" customWidth="true" hidden="false" outlineLevel="0" max="1" min="1" style="0" width="9.57"/>
    <col collapsed="false" customWidth="true" hidden="false" outlineLevel="0" max="2" min="2" style="0" width="16"/>
    <col collapsed="false" customWidth="true" hidden="false" outlineLevel="0" max="5" min="5" style="0" width="12.43"/>
    <col collapsed="false" customWidth="true" hidden="false" outlineLevel="0" max="6" min="6" style="0" width="13.85"/>
    <col collapsed="false" customWidth="true" hidden="false" outlineLevel="0" max="7" min="7" style="0" width="28.57"/>
    <col collapsed="false" customWidth="true" hidden="false" outlineLevel="0" max="8" min="8" style="0" width="9.43"/>
    <col collapsed="false" customWidth="true" hidden="false" outlineLevel="0" max="10" min="10" style="0" width="12"/>
    <col collapsed="false" customWidth="true" hidden="false" outlineLevel="0" max="12" min="11" style="0" width="11.28"/>
    <col collapsed="false" customWidth="true" hidden="false" outlineLevel="0" max="13" min="13" style="0" width="13.28"/>
    <col collapsed="false" customWidth="true" hidden="false" outlineLevel="0" max="14" min="14" style="0" width="5"/>
    <col collapsed="false" customWidth="true" hidden="false" outlineLevel="0" max="15" min="15" style="0" width="3.7"/>
    <col collapsed="false" customWidth="true" hidden="false" outlineLevel="0" max="16" min="16" style="0" width="7.43"/>
    <col collapsed="false" customWidth="true" hidden="false" outlineLevel="0" max="19" min="19" style="0" width="16"/>
  </cols>
  <sheetData>
    <row r="2" s="2" customFormat="true" ht="15" hidden="false" customHeight="false" outlineLevel="0" collapsed="false">
      <c r="A2" s="1" t="s">
        <v>0</v>
      </c>
    </row>
    <row r="3" customFormat="false" ht="16.5" hidden="false" customHeight="false" outlineLevel="0" collapsed="false"/>
    <row r="4" customFormat="false" ht="15" hidden="false" customHeight="false" outlineLevel="0" collapsed="false">
      <c r="A4" s="3" t="s">
        <v>1</v>
      </c>
      <c r="B4" s="4" t="s">
        <v>2</v>
      </c>
      <c r="C4" s="3" t="s">
        <v>3</v>
      </c>
      <c r="D4" s="5"/>
      <c r="E4" s="6"/>
      <c r="F4" s="3" t="s">
        <v>4</v>
      </c>
      <c r="G4" s="3" t="s">
        <v>5</v>
      </c>
      <c r="H4" s="7"/>
      <c r="I4" s="7"/>
      <c r="J4" s="7"/>
      <c r="K4" s="7"/>
      <c r="L4" s="7"/>
      <c r="M4" s="7"/>
      <c r="N4" s="7"/>
      <c r="O4" s="7"/>
      <c r="P4" s="8"/>
      <c r="R4" s="4" t="s">
        <v>6</v>
      </c>
      <c r="S4" s="3" t="s">
        <v>2</v>
      </c>
      <c r="T4" s="3" t="s">
        <v>7</v>
      </c>
      <c r="U4" s="5"/>
      <c r="V4" s="5"/>
      <c r="W4" s="6"/>
      <c r="X4" s="5" t="s">
        <v>8</v>
      </c>
      <c r="Y4" s="5"/>
      <c r="Z4" s="5"/>
      <c r="AA4" s="5"/>
      <c r="AB4" s="5"/>
      <c r="AC4" s="6"/>
    </row>
    <row r="5" customFormat="false" ht="15.75" hidden="false" customHeight="false" outlineLevel="0" collapsed="false">
      <c r="A5" s="9"/>
      <c r="B5" s="10"/>
      <c r="C5" s="11" t="s">
        <v>9</v>
      </c>
      <c r="D5" s="12" t="s">
        <v>10</v>
      </c>
      <c r="E5" s="13" t="s">
        <v>11</v>
      </c>
      <c r="F5" s="9"/>
      <c r="G5" s="9"/>
      <c r="H5" s="14"/>
      <c r="I5" s="14"/>
      <c r="J5" s="14"/>
      <c r="K5" s="14"/>
      <c r="L5" s="14"/>
      <c r="M5" s="14"/>
      <c r="N5" s="14"/>
      <c r="O5" s="14"/>
      <c r="P5" s="15"/>
      <c r="R5" s="16"/>
      <c r="S5" s="17"/>
      <c r="T5" s="11" t="s">
        <v>12</v>
      </c>
      <c r="U5" s="12" t="s">
        <v>13</v>
      </c>
      <c r="V5" s="12" t="s">
        <v>14</v>
      </c>
      <c r="W5" s="13" t="s">
        <v>15</v>
      </c>
      <c r="X5" s="18" t="s">
        <v>12</v>
      </c>
      <c r="Y5" s="18" t="s">
        <v>16</v>
      </c>
      <c r="Z5" s="18" t="s">
        <v>13</v>
      </c>
      <c r="AA5" s="18" t="s">
        <v>16</v>
      </c>
      <c r="AB5" s="18" t="s">
        <v>14</v>
      </c>
      <c r="AC5" s="19" t="s">
        <v>16</v>
      </c>
    </row>
    <row r="6" customFormat="false" ht="15" hidden="false" customHeight="false" outlineLevel="0" collapsed="false">
      <c r="A6" s="20" t="s">
        <v>17</v>
      </c>
      <c r="B6" s="21" t="s">
        <v>18</v>
      </c>
      <c r="C6" s="22" t="n">
        <v>25.97</v>
      </c>
      <c r="D6" s="22" t="n">
        <v>2.809</v>
      </c>
      <c r="E6" s="23" t="n">
        <v>109</v>
      </c>
      <c r="F6" s="24" t="n">
        <v>100</v>
      </c>
      <c r="I6" s="25" t="s">
        <v>19</v>
      </c>
      <c r="J6" s="26" t="s">
        <v>20</v>
      </c>
      <c r="K6" s="27" t="s">
        <v>21</v>
      </c>
      <c r="L6" s="27" t="s">
        <v>22</v>
      </c>
      <c r="M6" s="27" t="s">
        <v>23</v>
      </c>
      <c r="N6" s="23" t="s">
        <v>24</v>
      </c>
      <c r="O6" s="23" t="s">
        <v>25</v>
      </c>
      <c r="P6" s="28" t="s">
        <v>26</v>
      </c>
      <c r="R6" s="20" t="s">
        <v>27</v>
      </c>
      <c r="S6" s="29" t="s">
        <v>18</v>
      </c>
      <c r="T6" s="22" t="n">
        <v>53</v>
      </c>
      <c r="U6" s="23" t="n">
        <v>32</v>
      </c>
      <c r="V6" s="23" t="n">
        <v>24</v>
      </c>
      <c r="W6" s="30" t="n">
        <f aca="false">T6+U6+V6</f>
        <v>109</v>
      </c>
      <c r="X6" s="31" t="n">
        <f aca="false">T6/W6*100</f>
        <v>48.6238532110092</v>
      </c>
      <c r="Y6" s="32" t="n">
        <v>4.7873</v>
      </c>
      <c r="Z6" s="33" t="n">
        <f aca="false">U6/W6*100</f>
        <v>29.3577981651376</v>
      </c>
      <c r="AA6" s="32" t="n">
        <v>4.3619</v>
      </c>
      <c r="AB6" s="33" t="n">
        <f aca="false">V6/W6*100</f>
        <v>22.0183486238532</v>
      </c>
      <c r="AC6" s="34" t="n">
        <v>3.9689</v>
      </c>
    </row>
    <row r="7" customFormat="false" ht="15" hidden="false" customHeight="false" outlineLevel="0" collapsed="false">
      <c r="A7" s="35" t="s">
        <v>28</v>
      </c>
      <c r="B7" s="21" t="s">
        <v>29</v>
      </c>
      <c r="C7" s="36" t="n">
        <v>23.35</v>
      </c>
      <c r="D7" s="37" t="n">
        <v>4.427</v>
      </c>
      <c r="E7" s="23" t="n">
        <v>46</v>
      </c>
      <c r="F7" s="24" t="n">
        <v>49</v>
      </c>
      <c r="G7" s="29" t="s">
        <v>30</v>
      </c>
      <c r="H7" s="29" t="s">
        <v>31</v>
      </c>
      <c r="I7" s="25" t="n">
        <v>0.0001</v>
      </c>
      <c r="J7" s="38" t="n">
        <v>86.91</v>
      </c>
      <c r="K7" s="39"/>
      <c r="L7" s="39"/>
      <c r="M7" s="39"/>
      <c r="N7" s="39"/>
      <c r="O7" s="39"/>
      <c r="P7" s="40"/>
      <c r="R7" s="35"/>
      <c r="S7" s="29" t="s">
        <v>29</v>
      </c>
      <c r="T7" s="22" t="n">
        <v>20</v>
      </c>
      <c r="U7" s="23" t="n">
        <v>15</v>
      </c>
      <c r="V7" s="23" t="n">
        <v>11</v>
      </c>
      <c r="W7" s="30" t="n">
        <f aca="false">T7+U7+V7</f>
        <v>46</v>
      </c>
      <c r="X7" s="31" t="n">
        <f aca="false">T7/W7*100</f>
        <v>43.4782608695652</v>
      </c>
      <c r="Y7" s="32" t="n">
        <v>7.3091</v>
      </c>
      <c r="Z7" s="33" t="n">
        <f aca="false">U7/W7*100</f>
        <v>32.6086956521739</v>
      </c>
      <c r="AA7" s="32" t="n">
        <v>6.9118</v>
      </c>
      <c r="AB7" s="33" t="n">
        <v>22.9166666666667</v>
      </c>
      <c r="AC7" s="34" t="n">
        <v>6.2892</v>
      </c>
    </row>
    <row r="8" customFormat="false" ht="15" hidden="false" customHeight="false" outlineLevel="0" collapsed="false">
      <c r="A8" s="35"/>
      <c r="B8" s="21" t="s">
        <v>32</v>
      </c>
      <c r="C8" s="36" t="n">
        <v>23.2</v>
      </c>
      <c r="D8" s="37" t="n">
        <v>2.386</v>
      </c>
      <c r="E8" s="23" t="n">
        <v>93</v>
      </c>
      <c r="F8" s="24" t="n">
        <v>165</v>
      </c>
      <c r="G8" s="29" t="s">
        <v>33</v>
      </c>
      <c r="H8" s="29" t="s">
        <v>34</v>
      </c>
      <c r="I8" s="41" t="s">
        <v>35</v>
      </c>
      <c r="J8" s="42"/>
      <c r="K8" s="23" t="n">
        <v>284.3</v>
      </c>
      <c r="L8" s="23" t="n">
        <v>267.1</v>
      </c>
      <c r="M8" s="23" t="n">
        <v>17.48</v>
      </c>
      <c r="N8" s="23" t="n">
        <v>109</v>
      </c>
      <c r="O8" s="23" t="n">
        <v>46</v>
      </c>
      <c r="P8" s="43" t="n">
        <v>0.7383</v>
      </c>
      <c r="R8" s="35"/>
      <c r="S8" s="29" t="s">
        <v>32</v>
      </c>
      <c r="T8" s="22" t="n">
        <v>46</v>
      </c>
      <c r="U8" s="23" t="n">
        <v>31</v>
      </c>
      <c r="V8" s="23" t="n">
        <v>16</v>
      </c>
      <c r="W8" s="30" t="n">
        <f aca="false">T8+U8+V8</f>
        <v>93</v>
      </c>
      <c r="X8" s="31" t="n">
        <f aca="false">T8/W8*100</f>
        <v>49.4623655913979</v>
      </c>
      <c r="Y8" s="32" t="n">
        <v>5.1845</v>
      </c>
      <c r="Z8" s="33" t="n">
        <f aca="false">U8/W8*100</f>
        <v>33.3333333333333</v>
      </c>
      <c r="AA8" s="32" t="n">
        <v>4.8882</v>
      </c>
      <c r="AB8" s="33" t="n">
        <v>16.1616161616162</v>
      </c>
      <c r="AC8" s="34" t="n">
        <v>3.9136</v>
      </c>
    </row>
    <row r="9" customFormat="false" ht="15" hidden="false" customHeight="false" outlineLevel="0" collapsed="false">
      <c r="A9" s="35"/>
      <c r="B9" s="21" t="s">
        <v>36</v>
      </c>
      <c r="C9" s="36" t="n">
        <v>14.52</v>
      </c>
      <c r="D9" s="37" t="n">
        <v>2.391</v>
      </c>
      <c r="E9" s="23" t="n">
        <v>50</v>
      </c>
      <c r="F9" s="24" t="n">
        <v>67</v>
      </c>
      <c r="G9" s="29"/>
      <c r="H9" s="29" t="s">
        <v>37</v>
      </c>
      <c r="I9" s="41" t="s">
        <v>35</v>
      </c>
      <c r="J9" s="42"/>
      <c r="K9" s="23" t="n">
        <v>266.3</v>
      </c>
      <c r="L9" s="23" t="n">
        <v>290.8</v>
      </c>
      <c r="M9" s="23" t="n">
        <v>-23.74</v>
      </c>
      <c r="N9" s="23" t="n">
        <v>46</v>
      </c>
      <c r="O9" s="23" t="n">
        <v>93</v>
      </c>
      <c r="P9" s="43" t="n">
        <v>0.9775</v>
      </c>
      <c r="R9" s="35"/>
      <c r="S9" s="29" t="s">
        <v>36</v>
      </c>
      <c r="T9" s="22" t="n">
        <v>18</v>
      </c>
      <c r="U9" s="23" t="n">
        <v>14</v>
      </c>
      <c r="V9" s="23" t="n">
        <v>18</v>
      </c>
      <c r="W9" s="30" t="n">
        <f aca="false">T9+U9+V9</f>
        <v>50</v>
      </c>
      <c r="X9" s="31" t="n">
        <f aca="false">T9/W9*100</f>
        <v>36</v>
      </c>
      <c r="Y9" s="32" t="n">
        <v>6.7882</v>
      </c>
      <c r="Z9" s="33" t="n">
        <f aca="false">U9/W9*100</f>
        <v>28</v>
      </c>
      <c r="AA9" s="32" t="n">
        <v>6.3498</v>
      </c>
      <c r="AB9" s="33" t="n">
        <v>36</v>
      </c>
      <c r="AC9" s="34" t="n">
        <v>6.7882</v>
      </c>
    </row>
    <row r="10" customFormat="false" ht="15" hidden="false" customHeight="false" outlineLevel="0" collapsed="false">
      <c r="A10" s="35"/>
      <c r="B10" s="21" t="s">
        <v>38</v>
      </c>
      <c r="C10" s="36" t="n">
        <v>10.74</v>
      </c>
      <c r="D10" s="37" t="n">
        <v>1.446</v>
      </c>
      <c r="E10" s="23" t="n">
        <v>61</v>
      </c>
      <c r="F10" s="24" t="n">
        <v>50</v>
      </c>
      <c r="G10" s="29"/>
      <c r="H10" s="29" t="s">
        <v>39</v>
      </c>
      <c r="I10" s="25" t="n">
        <v>0.0092</v>
      </c>
      <c r="J10" s="42"/>
      <c r="K10" s="23" t="n">
        <v>290.5</v>
      </c>
      <c r="L10" s="23" t="n">
        <v>216</v>
      </c>
      <c r="M10" s="23" t="n">
        <v>74.85</v>
      </c>
      <c r="N10" s="23" t="n">
        <v>93</v>
      </c>
      <c r="O10" s="23" t="n">
        <v>50</v>
      </c>
      <c r="P10" s="43" t="n">
        <v>3.169</v>
      </c>
      <c r="R10" s="35"/>
      <c r="S10" s="29" t="s">
        <v>38</v>
      </c>
      <c r="T10" s="22" t="n">
        <v>17</v>
      </c>
      <c r="U10" s="23" t="n">
        <v>17</v>
      </c>
      <c r="V10" s="23" t="n">
        <v>27</v>
      </c>
      <c r="W10" s="30" t="n">
        <f aca="false">T10+U10+V10</f>
        <v>61</v>
      </c>
      <c r="X10" s="44" t="n">
        <f aca="false">T10/W10*100</f>
        <v>27.8688524590164</v>
      </c>
      <c r="Y10" s="32" t="n">
        <v>5.7406</v>
      </c>
      <c r="Z10" s="32" t="n">
        <f aca="false">U10/W10*100</f>
        <v>27.8688524590164</v>
      </c>
      <c r="AA10" s="32" t="n">
        <v>5.7406</v>
      </c>
      <c r="AB10" s="32" t="n">
        <v>44.2622950819672</v>
      </c>
      <c r="AC10" s="34" t="n">
        <v>6.3596</v>
      </c>
    </row>
    <row r="11" customFormat="false" ht="15" hidden="false" customHeight="false" outlineLevel="0" collapsed="false">
      <c r="A11" s="35"/>
      <c r="B11" s="21" t="s">
        <v>40</v>
      </c>
      <c r="C11" s="36" t="n">
        <v>7.368</v>
      </c>
      <c r="D11" s="37" t="n">
        <v>0.7903</v>
      </c>
      <c r="E11" s="23" t="n">
        <v>68</v>
      </c>
      <c r="F11" s="24" t="n">
        <v>133</v>
      </c>
      <c r="G11" s="29"/>
      <c r="H11" s="29" t="s">
        <v>41</v>
      </c>
      <c r="I11" s="41" t="s">
        <v>35</v>
      </c>
      <c r="J11" s="42"/>
      <c r="K11" s="23" t="n">
        <v>208.4</v>
      </c>
      <c r="L11" s="23" t="n">
        <v>200.3</v>
      </c>
      <c r="M11" s="23" t="n">
        <v>15.66</v>
      </c>
      <c r="N11" s="23" t="n">
        <v>50</v>
      </c>
      <c r="O11" s="23" t="n">
        <v>61</v>
      </c>
      <c r="P11" s="43" t="n">
        <v>0.6094</v>
      </c>
      <c r="R11" s="35"/>
      <c r="S11" s="29" t="s">
        <v>40</v>
      </c>
      <c r="T11" s="22" t="n">
        <v>13</v>
      </c>
      <c r="U11" s="23" t="n">
        <v>20</v>
      </c>
      <c r="V11" s="23" t="n">
        <v>35</v>
      </c>
      <c r="W11" s="30" t="n">
        <f aca="false">T11+U11+V11</f>
        <v>68</v>
      </c>
      <c r="X11" s="44" t="n">
        <f aca="false">T11/W11*100</f>
        <v>19.1176470588235</v>
      </c>
      <c r="Y11" s="32" t="n">
        <v>4.7686</v>
      </c>
      <c r="Z11" s="32" t="n">
        <f aca="false">U11/W11*100</f>
        <v>29.4117647058824</v>
      </c>
      <c r="AA11" s="32" t="n">
        <v>5.5255</v>
      </c>
      <c r="AB11" s="33" t="n">
        <v>50.7246376811594</v>
      </c>
      <c r="AC11" s="34" t="n">
        <v>6.0608</v>
      </c>
    </row>
    <row r="12" customFormat="false" ht="15" hidden="false" customHeight="false" outlineLevel="0" collapsed="false">
      <c r="A12" s="35"/>
      <c r="B12" s="21" t="s">
        <v>42</v>
      </c>
      <c r="C12" s="36" t="n">
        <v>4.65</v>
      </c>
      <c r="D12" s="37" t="n">
        <v>0.469</v>
      </c>
      <c r="E12" s="23" t="n">
        <v>40</v>
      </c>
      <c r="F12" s="24" t="n">
        <v>63</v>
      </c>
      <c r="G12" s="29"/>
      <c r="H12" s="29" t="s">
        <v>43</v>
      </c>
      <c r="I12" s="41" t="n">
        <v>0.7408</v>
      </c>
      <c r="J12" s="42"/>
      <c r="K12" s="23" t="n">
        <v>197</v>
      </c>
      <c r="L12" s="23" t="n">
        <v>163.7</v>
      </c>
      <c r="M12" s="23" t="n">
        <v>36.59</v>
      </c>
      <c r="N12" s="23" t="n">
        <v>61</v>
      </c>
      <c r="O12" s="23" t="n">
        <v>68</v>
      </c>
      <c r="P12" s="43" t="n">
        <v>1.54</v>
      </c>
      <c r="R12" s="45"/>
      <c r="S12" s="46" t="s">
        <v>42</v>
      </c>
      <c r="T12" s="47" t="n">
        <v>0</v>
      </c>
      <c r="U12" s="48" t="n">
        <v>10</v>
      </c>
      <c r="V12" s="48" t="n">
        <v>30</v>
      </c>
      <c r="W12" s="49" t="n">
        <f aca="false">T12+U12+V12</f>
        <v>40</v>
      </c>
      <c r="X12" s="50" t="n">
        <f aca="false">T12/W12*100</f>
        <v>0</v>
      </c>
      <c r="Y12" s="51" t="n">
        <v>0</v>
      </c>
      <c r="Z12" s="51" t="n">
        <f aca="false">U12/W12*100</f>
        <v>25</v>
      </c>
      <c r="AA12" s="51" t="n">
        <v>6.8465</v>
      </c>
      <c r="AB12" s="51" t="n">
        <v>73.1707317073171</v>
      </c>
      <c r="AC12" s="52" t="n">
        <v>6.8465</v>
      </c>
    </row>
    <row r="13" customFormat="false" ht="15" hidden="false" customHeight="false" outlineLevel="0" collapsed="false">
      <c r="A13" s="45"/>
      <c r="B13" s="53"/>
      <c r="C13" s="54"/>
      <c r="D13" s="55"/>
      <c r="E13" s="55"/>
      <c r="F13" s="56"/>
      <c r="G13" s="46"/>
      <c r="H13" s="46" t="s">
        <v>44</v>
      </c>
      <c r="I13" s="57" t="n">
        <v>0.5879</v>
      </c>
      <c r="J13" s="58"/>
      <c r="K13" s="48" t="n">
        <v>172.7</v>
      </c>
      <c r="L13" s="48" t="n">
        <v>119.3</v>
      </c>
      <c r="M13" s="48" t="n">
        <v>44.42</v>
      </c>
      <c r="N13" s="48" t="n">
        <v>68</v>
      </c>
      <c r="O13" s="48" t="n">
        <v>40</v>
      </c>
      <c r="P13" s="59" t="n">
        <v>1.655</v>
      </c>
    </row>
    <row r="14" customFormat="false" ht="15" hidden="false" customHeight="false" outlineLevel="0" collapsed="false">
      <c r="A14" s="60" t="s">
        <v>45</v>
      </c>
      <c r="B14" s="61" t="s">
        <v>18</v>
      </c>
      <c r="C14" s="62" t="n">
        <v>44.17</v>
      </c>
      <c r="D14" s="63" t="n">
        <v>4.495</v>
      </c>
      <c r="E14" s="22" t="n">
        <v>53</v>
      </c>
      <c r="F14" s="24" t="n">
        <v>100</v>
      </c>
      <c r="G14" s="64"/>
      <c r="H14" s="65"/>
      <c r="I14" s="66"/>
      <c r="J14" s="67"/>
      <c r="K14" s="68"/>
      <c r="L14" s="68"/>
      <c r="M14" s="68"/>
      <c r="N14" s="68"/>
      <c r="O14" s="68"/>
      <c r="P14" s="69"/>
    </row>
    <row r="15" customFormat="false" ht="15" hidden="false" customHeight="false" outlineLevel="0" collapsed="false">
      <c r="A15" s="0" t="s">
        <v>12</v>
      </c>
      <c r="B15" s="21" t="s">
        <v>29</v>
      </c>
      <c r="C15" s="36" t="n">
        <v>44</v>
      </c>
      <c r="D15" s="37" t="n">
        <v>8.053</v>
      </c>
      <c r="E15" s="22" t="n">
        <v>20</v>
      </c>
      <c r="F15" s="24" t="n">
        <v>49</v>
      </c>
      <c r="G15" s="35" t="s">
        <v>30</v>
      </c>
      <c r="H15" s="29" t="s">
        <v>46</v>
      </c>
      <c r="I15" s="25" t="n">
        <v>0.0004</v>
      </c>
      <c r="J15" s="42" t="n">
        <v>24.42</v>
      </c>
      <c r="K15" s="70"/>
      <c r="L15" s="70"/>
      <c r="M15" s="70"/>
      <c r="N15" s="70"/>
      <c r="O15" s="70"/>
      <c r="P15" s="71"/>
    </row>
    <row r="16" customFormat="false" ht="15" hidden="false" customHeight="false" outlineLevel="0" collapsed="false">
      <c r="A16" s="35"/>
      <c r="B16" s="21" t="s">
        <v>32</v>
      </c>
      <c r="C16" s="36" t="n">
        <v>37.07</v>
      </c>
      <c r="D16" s="37" t="n">
        <v>3.692</v>
      </c>
      <c r="E16" s="22" t="n">
        <v>46</v>
      </c>
      <c r="F16" s="24" t="n">
        <v>165</v>
      </c>
      <c r="G16" s="29" t="s">
        <v>33</v>
      </c>
      <c r="H16" s="29" t="s">
        <v>34</v>
      </c>
      <c r="I16" s="41" t="s">
        <v>35</v>
      </c>
      <c r="J16" s="72"/>
      <c r="K16" s="23" t="n">
        <v>95.92</v>
      </c>
      <c r="L16" s="23" t="n">
        <v>94.8</v>
      </c>
      <c r="M16" s="23" t="n">
        <v>1.125</v>
      </c>
      <c r="N16" s="23" t="n">
        <v>53</v>
      </c>
      <c r="O16" s="23" t="n">
        <v>20</v>
      </c>
      <c r="P16" s="43" t="n">
        <v>0.08812</v>
      </c>
    </row>
    <row r="17" customFormat="false" ht="15" hidden="false" customHeight="false" outlineLevel="0" collapsed="false">
      <c r="A17" s="35"/>
      <c r="B17" s="21" t="s">
        <v>36</v>
      </c>
      <c r="C17" s="36" t="n">
        <v>31.28</v>
      </c>
      <c r="D17" s="37" t="n">
        <v>4.354</v>
      </c>
      <c r="E17" s="22" t="n">
        <v>18</v>
      </c>
      <c r="F17" s="24" t="n">
        <v>67</v>
      </c>
      <c r="G17" s="35"/>
      <c r="H17" s="29" t="s">
        <v>37</v>
      </c>
      <c r="I17" s="41" t="s">
        <v>35</v>
      </c>
      <c r="J17" s="72"/>
      <c r="K17" s="23" t="n">
        <v>94.8</v>
      </c>
      <c r="L17" s="23" t="n">
        <v>90.78</v>
      </c>
      <c r="M17" s="23" t="n">
        <v>4.017</v>
      </c>
      <c r="N17" s="23" t="n">
        <v>20</v>
      </c>
      <c r="O17" s="23" t="n">
        <v>46</v>
      </c>
      <c r="P17" s="43" t="n">
        <v>0.3085</v>
      </c>
      <c r="S17" s="73"/>
      <c r="T17" s="73"/>
      <c r="U17" s="73"/>
      <c r="V17" s="73"/>
      <c r="W17" s="73"/>
      <c r="X17" s="73"/>
      <c r="Y17" s="73"/>
      <c r="Z17" s="73"/>
      <c r="AA17" s="73"/>
      <c r="AB17" s="73"/>
    </row>
    <row r="18" customFormat="false" ht="15" hidden="false" customHeight="false" outlineLevel="0" collapsed="false">
      <c r="A18" s="35"/>
      <c r="B18" s="21" t="s">
        <v>38</v>
      </c>
      <c r="C18" s="36" t="n">
        <v>24.35</v>
      </c>
      <c r="D18" s="37" t="n">
        <v>3.21</v>
      </c>
      <c r="E18" s="22" t="n">
        <v>17</v>
      </c>
      <c r="F18" s="24" t="n">
        <v>50</v>
      </c>
      <c r="G18" s="35"/>
      <c r="H18" s="29" t="s">
        <v>39</v>
      </c>
      <c r="I18" s="41" t="s">
        <v>35</v>
      </c>
      <c r="J18" s="72"/>
      <c r="K18" s="23" t="n">
        <v>90.78</v>
      </c>
      <c r="L18" s="23" t="n">
        <v>82.03</v>
      </c>
      <c r="M18" s="23" t="n">
        <v>8.755</v>
      </c>
      <c r="N18" s="23" t="n">
        <v>46</v>
      </c>
      <c r="O18" s="23" t="n">
        <v>18</v>
      </c>
      <c r="P18" s="43" t="n">
        <v>0.6476</v>
      </c>
      <c r="Q18" s="73"/>
    </row>
    <row r="19" customFormat="false" ht="15" hidden="false" customHeight="false" outlineLevel="0" collapsed="false">
      <c r="A19" s="35"/>
      <c r="B19" s="21" t="s">
        <v>40</v>
      </c>
      <c r="C19" s="36" t="n">
        <v>14.46</v>
      </c>
      <c r="D19" s="37" t="n">
        <v>2.096</v>
      </c>
      <c r="E19" s="22" t="n">
        <v>13</v>
      </c>
      <c r="F19" s="24" t="n">
        <v>133</v>
      </c>
      <c r="G19" s="35"/>
      <c r="H19" s="29" t="s">
        <v>41</v>
      </c>
      <c r="I19" s="41" t="s">
        <v>35</v>
      </c>
      <c r="J19" s="72"/>
      <c r="K19" s="23" t="n">
        <v>82.03</v>
      </c>
      <c r="L19" s="23" t="n">
        <v>66.62</v>
      </c>
      <c r="M19" s="23" t="n">
        <v>15.41</v>
      </c>
      <c r="N19" s="23" t="n">
        <v>18</v>
      </c>
      <c r="O19" s="23" t="n">
        <v>17</v>
      </c>
      <c r="P19" s="43" t="n">
        <v>0.9371</v>
      </c>
      <c r="Q19" s="73"/>
    </row>
    <row r="20" customFormat="false" ht="15" hidden="false" customHeight="false" outlineLevel="0" collapsed="false">
      <c r="A20" s="35"/>
      <c r="B20" s="21"/>
      <c r="C20" s="36"/>
      <c r="D20" s="37"/>
      <c r="E20" s="22"/>
      <c r="F20" s="72"/>
      <c r="G20" s="35"/>
      <c r="H20" s="29" t="s">
        <v>43</v>
      </c>
      <c r="I20" s="74" t="n">
        <v>0.3059</v>
      </c>
      <c r="J20" s="72"/>
      <c r="K20" s="23" t="n">
        <v>66.62</v>
      </c>
      <c r="L20" s="23" t="n">
        <v>33.08</v>
      </c>
      <c r="M20" s="23" t="n">
        <v>33.54</v>
      </c>
      <c r="N20" s="23" t="n">
        <v>17</v>
      </c>
      <c r="O20" s="23" t="n">
        <v>13</v>
      </c>
      <c r="P20" s="43" t="n">
        <v>1.872</v>
      </c>
      <c r="Q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customFormat="false" ht="15" hidden="false" customHeight="false" outlineLevel="0" collapsed="false">
      <c r="A21" s="45"/>
      <c r="B21" s="53"/>
      <c r="C21" s="54"/>
      <c r="D21" s="55"/>
      <c r="E21" s="55"/>
      <c r="F21" s="54"/>
      <c r="G21" s="35"/>
      <c r="H21" s="29"/>
      <c r="I21" s="25"/>
      <c r="J21" s="54"/>
      <c r="K21" s="48"/>
      <c r="L21" s="48"/>
      <c r="M21" s="48"/>
      <c r="N21" s="48"/>
      <c r="O21" s="48"/>
      <c r="P21" s="59"/>
    </row>
    <row r="22" customFormat="false" ht="15" hidden="false" customHeight="false" outlineLevel="0" collapsed="false">
      <c r="A22" s="60" t="s">
        <v>47</v>
      </c>
      <c r="B22" s="61" t="s">
        <v>18</v>
      </c>
      <c r="C22" s="62" t="n">
        <v>12.59</v>
      </c>
      <c r="D22" s="63" t="n">
        <v>1.371</v>
      </c>
      <c r="E22" s="75" t="n">
        <v>32</v>
      </c>
      <c r="F22" s="24" t="n">
        <v>100</v>
      </c>
      <c r="G22" s="64"/>
      <c r="H22" s="65"/>
      <c r="I22" s="66"/>
      <c r="J22" s="67"/>
      <c r="K22" s="68"/>
      <c r="L22" s="68"/>
      <c r="M22" s="68"/>
      <c r="N22" s="68"/>
      <c r="O22" s="68"/>
      <c r="P22" s="69"/>
      <c r="S22" s="73"/>
      <c r="T22" s="73"/>
      <c r="U22" s="73"/>
      <c r="V22" s="73"/>
      <c r="W22" s="73"/>
      <c r="X22" s="73"/>
      <c r="Y22" s="73"/>
      <c r="Z22" s="73"/>
      <c r="AA22" s="73"/>
      <c r="AB22" s="73"/>
    </row>
    <row r="23" customFormat="false" ht="15" hidden="false" customHeight="false" outlineLevel="0" collapsed="false">
      <c r="A23" s="35" t="s">
        <v>48</v>
      </c>
      <c r="B23" s="21" t="s">
        <v>29</v>
      </c>
      <c r="C23" s="36" t="n">
        <v>10.33</v>
      </c>
      <c r="D23" s="37" t="n">
        <v>1.588</v>
      </c>
      <c r="E23" s="28" t="n">
        <v>15</v>
      </c>
      <c r="F23" s="24" t="n">
        <v>49</v>
      </c>
      <c r="G23" s="35" t="s">
        <v>30</v>
      </c>
      <c r="H23" s="29" t="s">
        <v>31</v>
      </c>
      <c r="I23" s="25" t="n">
        <v>0.3433</v>
      </c>
      <c r="J23" s="38" t="n">
        <v>6.763</v>
      </c>
      <c r="K23" s="70"/>
      <c r="L23" s="70"/>
      <c r="M23" s="70"/>
      <c r="N23" s="70"/>
      <c r="O23" s="70"/>
      <c r="P23" s="71"/>
      <c r="T23" s="73"/>
    </row>
    <row r="24" customFormat="false" ht="15" hidden="false" customHeight="false" outlineLevel="0" collapsed="false">
      <c r="A24" s="35"/>
      <c r="B24" s="21" t="s">
        <v>32</v>
      </c>
      <c r="C24" s="36" t="n">
        <v>12.77</v>
      </c>
      <c r="D24" s="37" t="n">
        <v>1.501</v>
      </c>
      <c r="E24" s="28" t="n">
        <v>31</v>
      </c>
      <c r="F24" s="24" t="n">
        <v>165</v>
      </c>
      <c r="G24" s="29" t="s">
        <v>33</v>
      </c>
      <c r="H24" s="29" t="s">
        <v>34</v>
      </c>
      <c r="I24" s="41" t="s">
        <v>35</v>
      </c>
      <c r="J24" s="72"/>
      <c r="K24" s="23" t="n">
        <v>79.41</v>
      </c>
      <c r="L24" s="23" t="n">
        <v>63.97</v>
      </c>
      <c r="M24" s="23" t="n">
        <v>15.44</v>
      </c>
      <c r="N24" s="23" t="n">
        <v>32</v>
      </c>
      <c r="O24" s="23" t="n">
        <v>15</v>
      </c>
      <c r="P24" s="43" t="n">
        <v>1.232</v>
      </c>
    </row>
    <row r="25" customFormat="false" ht="15" hidden="false" customHeight="false" outlineLevel="0" collapsed="false">
      <c r="A25" s="35"/>
      <c r="B25" s="21" t="s">
        <v>36</v>
      </c>
      <c r="C25" s="36" t="n">
        <v>8.071</v>
      </c>
      <c r="D25" s="37" t="n">
        <v>0.6668</v>
      </c>
      <c r="E25" s="28" t="n">
        <v>14</v>
      </c>
      <c r="F25" s="24" t="n">
        <v>67</v>
      </c>
      <c r="G25" s="35"/>
      <c r="H25" s="29" t="s">
        <v>37</v>
      </c>
      <c r="I25" s="41" t="s">
        <v>35</v>
      </c>
      <c r="J25" s="72"/>
      <c r="K25" s="23" t="n">
        <v>63.97</v>
      </c>
      <c r="L25" s="23" t="n">
        <v>76.56</v>
      </c>
      <c r="M25" s="23" t="n">
        <v>-12.6</v>
      </c>
      <c r="N25" s="23" t="n">
        <v>15</v>
      </c>
      <c r="O25" s="23" t="n">
        <v>31</v>
      </c>
      <c r="P25" s="43" t="n">
        <v>1</v>
      </c>
    </row>
    <row r="26" customFormat="false" ht="15" hidden="false" customHeight="false" outlineLevel="0" collapsed="false">
      <c r="A26" s="35"/>
      <c r="B26" s="21" t="s">
        <v>38</v>
      </c>
      <c r="C26" s="36" t="n">
        <v>8.647</v>
      </c>
      <c r="D26" s="37" t="n">
        <v>0.7809</v>
      </c>
      <c r="E26" s="28" t="n">
        <v>17</v>
      </c>
      <c r="F26" s="24" t="n">
        <v>50</v>
      </c>
      <c r="G26" s="35"/>
      <c r="H26" s="29" t="s">
        <v>39</v>
      </c>
      <c r="I26" s="41" t="n">
        <v>0.5222</v>
      </c>
      <c r="J26" s="72"/>
      <c r="K26" s="23" t="n">
        <v>76.56</v>
      </c>
      <c r="L26" s="23" t="n">
        <v>54.5</v>
      </c>
      <c r="M26" s="23" t="n">
        <v>22.06</v>
      </c>
      <c r="N26" s="23" t="n">
        <v>31</v>
      </c>
      <c r="O26" s="23" t="n">
        <v>14</v>
      </c>
      <c r="P26" s="43" t="n">
        <v>1.711</v>
      </c>
    </row>
    <row r="27" customFormat="false" ht="15" hidden="false" customHeight="false" outlineLevel="0" collapsed="false">
      <c r="A27" s="35"/>
      <c r="B27" s="21" t="s">
        <v>40</v>
      </c>
      <c r="C27" s="36" t="n">
        <v>10.65</v>
      </c>
      <c r="D27" s="37" t="n">
        <v>1.206</v>
      </c>
      <c r="E27" s="28" t="n">
        <v>20</v>
      </c>
      <c r="F27" s="24" t="n">
        <v>133</v>
      </c>
      <c r="G27" s="35"/>
      <c r="H27" s="29" t="s">
        <v>41</v>
      </c>
      <c r="I27" s="41" t="s">
        <v>35</v>
      </c>
      <c r="J27" s="72"/>
      <c r="K27" s="23" t="n">
        <v>54.5</v>
      </c>
      <c r="L27" s="23" t="n">
        <v>59.18</v>
      </c>
      <c r="M27" s="23" t="n">
        <v>-4.676</v>
      </c>
      <c r="N27" s="23" t="n">
        <v>14</v>
      </c>
      <c r="O27" s="23" t="n">
        <v>17</v>
      </c>
      <c r="P27" s="43" t="n">
        <v>0.3236</v>
      </c>
    </row>
    <row r="28" customFormat="false" ht="15" hidden="false" customHeight="false" outlineLevel="0" collapsed="false">
      <c r="A28" s="35"/>
      <c r="B28" s="21" t="s">
        <v>42</v>
      </c>
      <c r="C28" s="36" t="n">
        <v>8.7</v>
      </c>
      <c r="D28" s="37" t="n">
        <v>0.9074</v>
      </c>
      <c r="E28" s="28" t="n">
        <v>10</v>
      </c>
      <c r="F28" s="24" t="n">
        <v>63</v>
      </c>
      <c r="G28" s="35"/>
      <c r="H28" s="29" t="s">
        <v>43</v>
      </c>
      <c r="I28" s="41" t="s">
        <v>35</v>
      </c>
      <c r="J28" s="72"/>
      <c r="K28" s="23" t="n">
        <v>59.18</v>
      </c>
      <c r="L28" s="23" t="n">
        <v>73.15</v>
      </c>
      <c r="M28" s="23" t="n">
        <v>-13.97</v>
      </c>
      <c r="N28" s="23" t="n">
        <v>17</v>
      </c>
      <c r="O28" s="23" t="n">
        <v>20</v>
      </c>
      <c r="P28" s="43" t="n">
        <v>1.058</v>
      </c>
      <c r="S28" s="73"/>
    </row>
    <row r="29" customFormat="false" ht="15" hidden="false" customHeight="false" outlineLevel="0" collapsed="false">
      <c r="A29" s="45"/>
      <c r="B29" s="53"/>
      <c r="C29" s="54"/>
      <c r="D29" s="55"/>
      <c r="E29" s="49"/>
      <c r="F29" s="55"/>
      <c r="G29" s="76"/>
      <c r="H29" s="46" t="s">
        <v>44</v>
      </c>
      <c r="I29" s="77" t="s">
        <v>35</v>
      </c>
      <c r="J29" s="54"/>
      <c r="K29" s="48" t="n">
        <v>73.15</v>
      </c>
      <c r="L29" s="48" t="n">
        <v>62.4</v>
      </c>
      <c r="M29" s="48" t="n">
        <v>10.75</v>
      </c>
      <c r="N29" s="48" t="n">
        <v>20</v>
      </c>
      <c r="O29" s="48" t="n">
        <v>10</v>
      </c>
      <c r="P29" s="59" t="n">
        <v>0.6932</v>
      </c>
      <c r="S29" s="73"/>
    </row>
    <row r="30" customFormat="false" ht="15" hidden="false" customHeight="false" outlineLevel="0" collapsed="false">
      <c r="A30" s="60" t="s">
        <v>49</v>
      </c>
      <c r="B30" s="61" t="s">
        <v>18</v>
      </c>
      <c r="C30" s="62" t="n">
        <v>3.524</v>
      </c>
      <c r="D30" s="63" t="n">
        <v>0.3057</v>
      </c>
      <c r="E30" s="23" t="n">
        <v>24</v>
      </c>
      <c r="F30" s="24" t="n">
        <v>100</v>
      </c>
      <c r="G30" s="64"/>
      <c r="H30" s="65"/>
      <c r="I30" s="66"/>
      <c r="J30" s="67"/>
      <c r="K30" s="68"/>
      <c r="L30" s="68"/>
      <c r="M30" s="68"/>
      <c r="N30" s="68"/>
      <c r="O30" s="68"/>
      <c r="P30" s="69"/>
      <c r="S30" s="73"/>
    </row>
    <row r="31" customFormat="false" ht="15" hidden="false" customHeight="false" outlineLevel="0" collapsed="false">
      <c r="A31" s="35" t="s">
        <v>50</v>
      </c>
      <c r="B31" s="21" t="s">
        <v>29</v>
      </c>
      <c r="C31" s="36" t="n">
        <v>3.545</v>
      </c>
      <c r="D31" s="37" t="n">
        <v>0.3659</v>
      </c>
      <c r="E31" s="23" t="n">
        <v>11</v>
      </c>
      <c r="F31" s="24" t="n">
        <v>49</v>
      </c>
      <c r="G31" s="35" t="s">
        <v>30</v>
      </c>
      <c r="H31" s="29" t="s">
        <v>31</v>
      </c>
      <c r="I31" s="25" t="n">
        <v>0.0966</v>
      </c>
      <c r="J31" s="42" t="n">
        <v>10.74</v>
      </c>
      <c r="K31" s="70"/>
      <c r="L31" s="70"/>
      <c r="M31" s="70"/>
      <c r="N31" s="70"/>
      <c r="O31" s="70"/>
      <c r="P31" s="71"/>
      <c r="S31" s="73"/>
    </row>
    <row r="32" customFormat="false" ht="15" hidden="false" customHeight="false" outlineLevel="0" collapsed="false">
      <c r="A32" s="35"/>
      <c r="B32" s="21" t="s">
        <v>32</v>
      </c>
      <c r="C32" s="36" t="n">
        <v>3.563</v>
      </c>
      <c r="D32" s="37" t="n">
        <v>0.2734</v>
      </c>
      <c r="E32" s="23" t="n">
        <v>16</v>
      </c>
      <c r="F32" s="24" t="n">
        <v>165</v>
      </c>
      <c r="G32" s="29" t="s">
        <v>33</v>
      </c>
      <c r="H32" s="29" t="s">
        <v>34</v>
      </c>
      <c r="I32" s="41" t="s">
        <v>35</v>
      </c>
      <c r="J32" s="72"/>
      <c r="K32" s="23" t="n">
        <v>91.1</v>
      </c>
      <c r="L32" s="23" t="n">
        <v>92.36</v>
      </c>
      <c r="M32" s="23" t="n">
        <v>-1.259</v>
      </c>
      <c r="N32" s="23" t="n">
        <v>24</v>
      </c>
      <c r="O32" s="23" t="n">
        <v>11</v>
      </c>
      <c r="P32" s="43" t="n">
        <v>0.07701</v>
      </c>
      <c r="S32" s="73"/>
    </row>
    <row r="33" customFormat="false" ht="15" hidden="false" customHeight="false" outlineLevel="0" collapsed="false">
      <c r="A33" s="35"/>
      <c r="B33" s="21" t="s">
        <v>36</v>
      </c>
      <c r="C33" s="36" t="n">
        <v>2.778</v>
      </c>
      <c r="D33" s="37" t="n">
        <v>0.1906</v>
      </c>
      <c r="E33" s="23" t="n">
        <v>18</v>
      </c>
      <c r="F33" s="24" t="n">
        <v>67</v>
      </c>
      <c r="G33" s="35"/>
      <c r="H33" s="29" t="s">
        <v>37</v>
      </c>
      <c r="I33" s="41" t="s">
        <v>35</v>
      </c>
      <c r="J33" s="78"/>
      <c r="K33" s="23" t="n">
        <v>92.36</v>
      </c>
      <c r="L33" s="23" t="n">
        <v>94.56</v>
      </c>
      <c r="M33" s="23" t="n">
        <v>-2.199</v>
      </c>
      <c r="N33" s="23" t="n">
        <v>11</v>
      </c>
      <c r="O33" s="23" t="n">
        <v>16</v>
      </c>
      <c r="P33" s="43" t="n">
        <v>0.125</v>
      </c>
      <c r="S33" s="73"/>
    </row>
    <row r="34" customFormat="false" ht="15" hidden="false" customHeight="false" outlineLevel="0" collapsed="false">
      <c r="A34" s="35"/>
      <c r="B34" s="21" t="s">
        <v>38</v>
      </c>
      <c r="C34" s="36" t="n">
        <v>3.481</v>
      </c>
      <c r="D34" s="37" t="n">
        <v>0.2288</v>
      </c>
      <c r="E34" s="23" t="n">
        <v>27</v>
      </c>
      <c r="F34" s="24" t="n">
        <v>50</v>
      </c>
      <c r="G34" s="35"/>
      <c r="H34" s="29" t="s">
        <v>39</v>
      </c>
      <c r="I34" s="41" t="n">
        <v>0.2765</v>
      </c>
      <c r="J34" s="78"/>
      <c r="K34" s="23" t="n">
        <v>94.56</v>
      </c>
      <c r="L34" s="23" t="n">
        <v>63.78</v>
      </c>
      <c r="M34" s="23" t="n">
        <v>30.78</v>
      </c>
      <c r="N34" s="23" t="n">
        <v>16</v>
      </c>
      <c r="O34" s="23" t="n">
        <v>18</v>
      </c>
      <c r="P34" s="43" t="n">
        <v>1.995</v>
      </c>
      <c r="S34" s="73"/>
    </row>
    <row r="35" customFormat="false" ht="15" hidden="false" customHeight="false" outlineLevel="0" collapsed="false">
      <c r="A35" s="35"/>
      <c r="B35" s="21" t="s">
        <v>40</v>
      </c>
      <c r="C35" s="36" t="n">
        <v>2.857</v>
      </c>
      <c r="D35" s="37" t="n">
        <v>0.1486</v>
      </c>
      <c r="E35" s="23" t="n">
        <v>35</v>
      </c>
      <c r="F35" s="24" t="n">
        <v>133</v>
      </c>
      <c r="G35" s="35"/>
      <c r="H35" s="29" t="s">
        <v>41</v>
      </c>
      <c r="I35" s="41" t="n">
        <v>0.3344</v>
      </c>
      <c r="J35" s="78"/>
      <c r="K35" s="23" t="n">
        <v>63.78</v>
      </c>
      <c r="L35" s="23" t="n">
        <v>89.93</v>
      </c>
      <c r="M35" s="23" t="n">
        <v>-26.15</v>
      </c>
      <c r="N35" s="23" t="n">
        <v>18</v>
      </c>
      <c r="O35" s="23" t="n">
        <v>27</v>
      </c>
      <c r="P35" s="43" t="n">
        <v>1.913</v>
      </c>
    </row>
    <row r="36" customFormat="false" ht="15" hidden="false" customHeight="false" outlineLevel="0" collapsed="false">
      <c r="A36" s="35"/>
      <c r="B36" s="21" t="s">
        <v>42</v>
      </c>
      <c r="C36" s="36" t="n">
        <v>3.3</v>
      </c>
      <c r="D36" s="37" t="n">
        <v>0.2404</v>
      </c>
      <c r="E36" s="23" t="n">
        <v>30</v>
      </c>
      <c r="F36" s="24" t="n">
        <v>63</v>
      </c>
      <c r="G36" s="35"/>
      <c r="H36" s="29" t="s">
        <v>43</v>
      </c>
      <c r="I36" s="41" t="n">
        <v>0.2497</v>
      </c>
      <c r="J36" s="78"/>
      <c r="K36" s="23" t="n">
        <v>89.93</v>
      </c>
      <c r="L36" s="23" t="n">
        <v>66.49</v>
      </c>
      <c r="M36" s="23" t="n">
        <v>23.44</v>
      </c>
      <c r="N36" s="23" t="n">
        <v>27</v>
      </c>
      <c r="O36" s="23" t="n">
        <v>35</v>
      </c>
      <c r="P36" s="43" t="n">
        <v>2.037</v>
      </c>
    </row>
    <row r="37" customFormat="false" ht="15" hidden="false" customHeight="false" outlineLevel="0" collapsed="false">
      <c r="A37" s="45"/>
      <c r="B37" s="53"/>
      <c r="C37" s="54"/>
      <c r="D37" s="55"/>
      <c r="E37" s="55"/>
      <c r="F37" s="54"/>
      <c r="G37" s="76"/>
      <c r="H37" s="46" t="s">
        <v>44</v>
      </c>
      <c r="I37" s="77" t="s">
        <v>35</v>
      </c>
      <c r="J37" s="79"/>
      <c r="K37" s="48" t="n">
        <v>66.49</v>
      </c>
      <c r="L37" s="48" t="n">
        <v>80.75</v>
      </c>
      <c r="M37" s="48" t="n">
        <v>-14.26</v>
      </c>
      <c r="N37" s="48" t="n">
        <v>35</v>
      </c>
      <c r="O37" s="48" t="n">
        <v>30</v>
      </c>
      <c r="P37" s="59" t="n">
        <v>1.276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J42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9" activeCellId="0" sqref="A19"/>
    </sheetView>
  </sheetViews>
  <sheetFormatPr defaultColWidth="8.5859375" defaultRowHeight="15" zeroHeight="false" outlineLevelRow="0" outlineLevelCol="0"/>
  <cols>
    <col collapsed="false" customWidth="true" hidden="false" outlineLevel="0" max="1" min="1" style="0" width="12.43"/>
    <col collapsed="false" customWidth="true" hidden="false" outlineLevel="0" max="2" min="2" style="0" width="16"/>
    <col collapsed="false" customWidth="true" hidden="false" outlineLevel="0" max="3" min="3" style="0" width="10.71"/>
    <col collapsed="false" customWidth="true" hidden="false" outlineLevel="0" max="4" min="4" style="0" width="12"/>
    <col collapsed="false" customWidth="true" hidden="false" outlineLevel="0" max="5" min="5" style="0" width="10.28"/>
    <col collapsed="false" customWidth="true" hidden="false" outlineLevel="0" max="6" min="6" style="0" width="21.43"/>
    <col collapsed="false" customWidth="true" hidden="false" outlineLevel="0" max="7" min="7" style="0" width="14.71"/>
    <col collapsed="false" customWidth="true" hidden="false" outlineLevel="0" max="8" min="8" style="0" width="11.57"/>
    <col collapsed="false" customWidth="true" hidden="false" outlineLevel="0" max="9" min="9" style="0" width="18.57"/>
    <col collapsed="false" customWidth="true" hidden="false" outlineLevel="0" max="12" min="12" style="0" width="19"/>
    <col collapsed="false" customWidth="true" hidden="false" outlineLevel="0" max="14" min="13" style="0" width="16.71"/>
    <col collapsed="false" customWidth="true" hidden="false" outlineLevel="0" max="15" min="15" style="0" width="10.28"/>
    <col collapsed="false" customWidth="true" hidden="false" outlineLevel="0" max="16" min="16" style="0" width="14.14"/>
  </cols>
  <sheetData>
    <row r="2" s="2" customFormat="true" ht="15" hidden="false" customHeight="false" outlineLevel="0" collapsed="false">
      <c r="A2" s="1" t="s">
        <v>0</v>
      </c>
    </row>
    <row r="3" customFormat="false" ht="16.5" hidden="false" customHeight="false" outlineLevel="0" collapsed="false"/>
    <row r="4" customFormat="false" ht="15" hidden="false" customHeight="true" outlineLevel="0" collapsed="false">
      <c r="A4" s="4" t="s">
        <v>1</v>
      </c>
      <c r="B4" s="4" t="s">
        <v>51</v>
      </c>
      <c r="C4" s="3" t="s">
        <v>52</v>
      </c>
      <c r="D4" s="5"/>
      <c r="E4" s="3" t="s">
        <v>11</v>
      </c>
      <c r="F4" s="3" t="s">
        <v>53</v>
      </c>
      <c r="G4" s="80" t="s">
        <v>54</v>
      </c>
      <c r="H4" s="5"/>
      <c r="I4" s="80" t="s">
        <v>54</v>
      </c>
    </row>
    <row r="5" customFormat="false" ht="15.75" hidden="false" customHeight="false" outlineLevel="0" collapsed="false">
      <c r="A5" s="16"/>
      <c r="B5" s="16"/>
      <c r="C5" s="11" t="s">
        <v>55</v>
      </c>
      <c r="D5" s="12" t="s">
        <v>56</v>
      </c>
      <c r="E5" s="17" t="s">
        <v>15</v>
      </c>
      <c r="F5" s="11" t="s">
        <v>55</v>
      </c>
      <c r="G5" s="80"/>
      <c r="H5" s="12" t="s">
        <v>56</v>
      </c>
      <c r="I5" s="80"/>
    </row>
    <row r="6" customFormat="false" ht="15" hidden="false" customHeight="false" outlineLevel="0" collapsed="false">
      <c r="A6" s="35" t="s">
        <v>57</v>
      </c>
      <c r="B6" s="21" t="s">
        <v>58</v>
      </c>
      <c r="C6" s="72" t="n">
        <v>8</v>
      </c>
      <c r="D6" s="81" t="n">
        <v>1</v>
      </c>
      <c r="E6" s="82" t="n">
        <v>37</v>
      </c>
      <c r="F6" s="31" t="n">
        <f aca="false">C6/E6*100</f>
        <v>21.6216216216216</v>
      </c>
      <c r="G6" s="32" t="n">
        <v>6.77</v>
      </c>
      <c r="H6" s="33" t="n">
        <f aca="false">D6/E6*100</f>
        <v>2.7027027027027</v>
      </c>
      <c r="I6" s="34" t="n">
        <v>2.67</v>
      </c>
    </row>
    <row r="7" customFormat="false" ht="15" hidden="false" customHeight="false" outlineLevel="0" collapsed="false">
      <c r="A7" s="35"/>
      <c r="B7" s="21" t="s">
        <v>48</v>
      </c>
      <c r="C7" s="72" t="n">
        <v>6</v>
      </c>
      <c r="D7" s="81" t="n">
        <v>1</v>
      </c>
      <c r="E7" s="72" t="n">
        <v>28</v>
      </c>
      <c r="F7" s="31" t="n">
        <f aca="false">C7/E7*100</f>
        <v>21.4285714285714</v>
      </c>
      <c r="G7" s="32" t="n">
        <v>7.75</v>
      </c>
      <c r="H7" s="33" t="n">
        <f aca="false">D7/E7*100</f>
        <v>3.57142857142857</v>
      </c>
      <c r="I7" s="34" t="n">
        <v>3.51</v>
      </c>
      <c r="J7" s="0" t="s">
        <v>59</v>
      </c>
    </row>
    <row r="8" customFormat="false" ht="15" hidden="false" customHeight="false" outlineLevel="0" collapsed="false">
      <c r="A8" s="45"/>
      <c r="B8" s="53" t="s">
        <v>50</v>
      </c>
      <c r="C8" s="54" t="n">
        <v>12</v>
      </c>
      <c r="D8" s="55" t="n">
        <v>3</v>
      </c>
      <c r="E8" s="72" t="n">
        <v>22</v>
      </c>
      <c r="F8" s="31" t="n">
        <f aca="false">C8/E8*100</f>
        <v>54.5454545454545</v>
      </c>
      <c r="G8" s="32" t="n">
        <v>10.21</v>
      </c>
      <c r="H8" s="33" t="n">
        <f aca="false">D8/E8*100</f>
        <v>13.6363636363636</v>
      </c>
      <c r="I8" s="34" t="n">
        <v>6.75</v>
      </c>
    </row>
    <row r="9" customFormat="false" ht="15" hidden="false" customHeight="false" outlineLevel="0" collapsed="false">
      <c r="A9" s="64" t="s">
        <v>60</v>
      </c>
      <c r="B9" s="61" t="s">
        <v>58</v>
      </c>
      <c r="C9" s="83" t="n">
        <v>2</v>
      </c>
      <c r="D9" s="84" t="n">
        <v>3</v>
      </c>
      <c r="E9" s="83" t="n">
        <v>24</v>
      </c>
      <c r="F9" s="85" t="n">
        <f aca="false">C9/E9*100</f>
        <v>8.33333333333333</v>
      </c>
      <c r="G9" s="86" t="n">
        <v>5.6417</v>
      </c>
      <c r="H9" s="87" t="n">
        <f aca="false">D9/E9*100</f>
        <v>12.5</v>
      </c>
      <c r="I9" s="88" t="n">
        <v>6.7508</v>
      </c>
    </row>
    <row r="10" customFormat="false" ht="15" hidden="false" customHeight="false" outlineLevel="0" collapsed="false">
      <c r="A10" s="35"/>
      <c r="B10" s="21" t="s">
        <v>48</v>
      </c>
      <c r="C10" s="72" t="n">
        <v>8</v>
      </c>
      <c r="D10" s="81" t="n">
        <v>3</v>
      </c>
      <c r="E10" s="72" t="n">
        <v>31</v>
      </c>
      <c r="F10" s="31" t="n">
        <f aca="false">C10/E10*100</f>
        <v>25.8064516129032</v>
      </c>
      <c r="G10" s="32" t="n">
        <v>7.859</v>
      </c>
      <c r="H10" s="33" t="n">
        <f aca="false">D10/E10*100</f>
        <v>9.67741935483871</v>
      </c>
      <c r="I10" s="34" t="n">
        <v>5.31</v>
      </c>
    </row>
    <row r="11" customFormat="false" ht="15" hidden="false" customHeight="false" outlineLevel="0" collapsed="false">
      <c r="A11" s="45"/>
      <c r="B11" s="53" t="s">
        <v>50</v>
      </c>
      <c r="C11" s="54" t="n">
        <v>7</v>
      </c>
      <c r="D11" s="55" t="n">
        <v>2</v>
      </c>
      <c r="E11" s="54" t="n">
        <v>23</v>
      </c>
      <c r="F11" s="89" t="n">
        <f aca="false">C11/E11*100</f>
        <v>30.4347826086957</v>
      </c>
      <c r="G11" s="51" t="n">
        <v>9.5944</v>
      </c>
      <c r="H11" s="90" t="n">
        <f aca="false">D11/E11*100</f>
        <v>8.69565217391304</v>
      </c>
      <c r="I11" s="52" t="n">
        <v>5.8753</v>
      </c>
    </row>
    <row r="13" customFormat="false" ht="15.75" hidden="false" customHeight="false" outlineLevel="0" collapsed="false"/>
    <row r="14" customFormat="false" ht="15" hidden="false" customHeight="false" outlineLevel="0" collapsed="false">
      <c r="A14" s="91" t="s">
        <v>61</v>
      </c>
      <c r="B14" s="91"/>
      <c r="C14" s="91"/>
      <c r="D14" s="91"/>
      <c r="E14" s="91"/>
      <c r="F14" s="91"/>
    </row>
    <row r="15" customFormat="false" ht="15.75" hidden="false" customHeight="false" outlineLevel="0" collapsed="false">
      <c r="A15" s="17" t="s">
        <v>62</v>
      </c>
      <c r="B15" s="18" t="s">
        <v>63</v>
      </c>
      <c r="C15" s="18" t="s">
        <v>64</v>
      </c>
      <c r="D15" s="18" t="s">
        <v>65</v>
      </c>
      <c r="E15" s="18" t="s">
        <v>66</v>
      </c>
      <c r="F15" s="19" t="s">
        <v>67</v>
      </c>
    </row>
    <row r="16" customFormat="false" ht="15" hidden="false" customHeight="false" outlineLevel="0" collapsed="false">
      <c r="A16" s="92" t="n">
        <v>1</v>
      </c>
      <c r="B16" s="92" t="n">
        <v>0.972547761</v>
      </c>
      <c r="C16" s="92" t="n">
        <v>0.972547761</v>
      </c>
      <c r="D16" s="92" t="n">
        <v>19.44520988</v>
      </c>
      <c r="E16" s="92" t="n">
        <v>0.000338153</v>
      </c>
      <c r="F16" s="92" t="s">
        <v>68</v>
      </c>
    </row>
    <row r="17" customFormat="false" ht="15" hidden="false" customHeight="false" outlineLevel="0" collapsed="false">
      <c r="A17" s="93" t="n">
        <v>2</v>
      </c>
      <c r="B17" s="93" t="n">
        <v>0.349254835</v>
      </c>
      <c r="C17" s="93" t="n">
        <v>0.174627417</v>
      </c>
      <c r="D17" s="93" t="n">
        <v>3.491516734</v>
      </c>
      <c r="E17" s="93" t="n">
        <v>0.052317384</v>
      </c>
      <c r="F17" s="93" t="s">
        <v>69</v>
      </c>
    </row>
    <row r="18" customFormat="false" ht="15" hidden="false" customHeight="false" outlineLevel="0" collapsed="false">
      <c r="A18" s="93" t="n">
        <v>2</v>
      </c>
      <c r="B18" s="93" t="n">
        <v>0.062963908</v>
      </c>
      <c r="C18" s="93" t="n">
        <v>0.031481954</v>
      </c>
      <c r="D18" s="93" t="n">
        <v>0.629453098</v>
      </c>
      <c r="E18" s="93" t="n">
        <v>0.544211839</v>
      </c>
      <c r="F18" s="93" t="s">
        <v>70</v>
      </c>
    </row>
    <row r="19" customFormat="false" ht="15" hidden="false" customHeight="false" outlineLevel="0" collapsed="false">
      <c r="A19" s="93" t="n">
        <v>18</v>
      </c>
      <c r="B19" s="93" t="n">
        <v>0.900265917</v>
      </c>
      <c r="C19" s="93" t="n">
        <v>0.050014773</v>
      </c>
      <c r="D19" s="93"/>
      <c r="E19" s="93"/>
      <c r="F19" s="93" t="s">
        <v>71</v>
      </c>
    </row>
    <row r="20" customFormat="false" ht="15.75" hidden="false" customHeight="false" outlineLevel="0" collapsed="false">
      <c r="A20" s="94"/>
      <c r="B20" s="94"/>
      <c r="C20" s="94"/>
      <c r="D20" s="94"/>
      <c r="E20" s="94"/>
      <c r="F20" s="94"/>
    </row>
    <row r="21" customFormat="false" ht="15" hidden="false" customHeight="false" outlineLevel="0" collapsed="false">
      <c r="A21" s="91" t="s">
        <v>72</v>
      </c>
      <c r="B21" s="91"/>
      <c r="C21" s="91"/>
      <c r="D21" s="91"/>
      <c r="E21" s="91"/>
      <c r="F21" s="91"/>
    </row>
    <row r="22" customFormat="false" ht="15.75" hidden="false" customHeight="false" outlineLevel="0" collapsed="false">
      <c r="A22" s="17" t="s">
        <v>62</v>
      </c>
      <c r="B22" s="18" t="s">
        <v>63</v>
      </c>
      <c r="C22" s="18" t="s">
        <v>64</v>
      </c>
      <c r="D22" s="18" t="s">
        <v>65</v>
      </c>
      <c r="E22" s="18" t="s">
        <v>66</v>
      </c>
      <c r="F22" s="19" t="s">
        <v>67</v>
      </c>
    </row>
    <row r="23" customFormat="false" ht="15" hidden="false" customHeight="false" outlineLevel="0" collapsed="false">
      <c r="A23" s="92" t="n">
        <v>1</v>
      </c>
      <c r="B23" s="92" t="n">
        <v>0.074112587</v>
      </c>
      <c r="C23" s="92" t="n">
        <v>0.074112587</v>
      </c>
      <c r="D23" s="92" t="n">
        <v>1.998472984</v>
      </c>
      <c r="E23" s="92" t="n">
        <v>0.182871746</v>
      </c>
      <c r="F23" s="92" t="s">
        <v>68</v>
      </c>
    </row>
    <row r="24" customFormat="false" ht="15" hidden="false" customHeight="false" outlineLevel="0" collapsed="false">
      <c r="A24" s="93" t="n">
        <v>2</v>
      </c>
      <c r="B24" s="93" t="n">
        <v>0.05910758</v>
      </c>
      <c r="C24" s="93" t="n">
        <v>0.02955379</v>
      </c>
      <c r="D24" s="93" t="n">
        <v>0.796928755</v>
      </c>
      <c r="E24" s="93" t="n">
        <v>0.473185248</v>
      </c>
      <c r="F24" s="93" t="s">
        <v>69</v>
      </c>
    </row>
    <row r="25" customFormat="false" ht="15" hidden="false" customHeight="false" outlineLevel="0" collapsed="false">
      <c r="A25" s="93" t="n">
        <v>2</v>
      </c>
      <c r="B25" s="93" t="n">
        <v>0.269619691</v>
      </c>
      <c r="C25" s="93" t="n">
        <v>0.134809846</v>
      </c>
      <c r="D25" s="93" t="n">
        <v>3.635196752</v>
      </c>
      <c r="E25" s="93" t="n">
        <v>0.058310126</v>
      </c>
      <c r="F25" s="93" t="s">
        <v>70</v>
      </c>
    </row>
    <row r="26" customFormat="false" ht="15" hidden="false" customHeight="false" outlineLevel="0" collapsed="false">
      <c r="A26" s="93" t="n">
        <v>12</v>
      </c>
      <c r="B26" s="93" t="n">
        <v>0.445015293</v>
      </c>
      <c r="C26" s="93" t="n">
        <v>0.037084608</v>
      </c>
      <c r="D26" s="93"/>
      <c r="E26" s="93"/>
      <c r="F26" s="93" t="s">
        <v>71</v>
      </c>
    </row>
    <row r="27" customFormat="false" ht="15" hidden="false" customHeight="false" outlineLevel="0" collapsed="false">
      <c r="A27" s="29"/>
      <c r="B27" s="29"/>
      <c r="C27" s="29"/>
      <c r="D27" s="29"/>
      <c r="E27" s="29"/>
      <c r="F27" s="29"/>
    </row>
    <row r="28" customFormat="false" ht="15.75" hidden="false" customHeight="false" outlineLevel="0" collapsed="false"/>
    <row r="29" customFormat="false" ht="15" hidden="false" customHeight="true" outlineLevel="0" collapsed="false">
      <c r="A29" s="4" t="s">
        <v>1</v>
      </c>
      <c r="B29" s="4" t="s">
        <v>73</v>
      </c>
      <c r="C29" s="4" t="s">
        <v>74</v>
      </c>
      <c r="D29" s="4" t="s">
        <v>11</v>
      </c>
      <c r="E29" s="4" t="s">
        <v>75</v>
      </c>
      <c r="F29" s="95" t="s">
        <v>54</v>
      </c>
    </row>
    <row r="30" customFormat="false" ht="15.75" hidden="false" customHeight="false" outlineLevel="0" collapsed="false">
      <c r="A30" s="16"/>
      <c r="B30" s="16"/>
      <c r="C30" s="16" t="s">
        <v>76</v>
      </c>
      <c r="D30" s="16" t="s">
        <v>15</v>
      </c>
      <c r="E30" s="16" t="s">
        <v>77</v>
      </c>
      <c r="F30" s="95"/>
    </row>
    <row r="31" customFormat="false" ht="15" hidden="false" customHeight="false" outlineLevel="0" collapsed="false">
      <c r="A31" s="35" t="s">
        <v>78</v>
      </c>
      <c r="B31" s="29" t="s">
        <v>79</v>
      </c>
      <c r="C31" s="81" t="n">
        <v>31</v>
      </c>
      <c r="D31" s="81" t="n">
        <v>87</v>
      </c>
      <c r="E31" s="96" t="n">
        <f aca="false">C31/D31*100</f>
        <v>35.632183908046</v>
      </c>
      <c r="F31" s="34" t="n">
        <v>5.13</v>
      </c>
    </row>
    <row r="32" customFormat="false" ht="15" hidden="false" customHeight="false" outlineLevel="0" collapsed="false">
      <c r="A32" s="35"/>
      <c r="B32" s="29" t="s">
        <v>80</v>
      </c>
      <c r="C32" s="81" t="n">
        <v>25</v>
      </c>
      <c r="D32" s="81" t="n">
        <v>78</v>
      </c>
      <c r="E32" s="96" t="n">
        <f aca="false">C32/D32*100</f>
        <v>32.0512820512821</v>
      </c>
      <c r="F32" s="34" t="n">
        <v>5.284</v>
      </c>
    </row>
    <row r="33" customFormat="false" ht="15" hidden="false" customHeight="false" outlineLevel="0" collapsed="false">
      <c r="A33" s="45"/>
      <c r="B33" s="97" t="s">
        <v>81</v>
      </c>
      <c r="C33" s="55" t="n">
        <v>11</v>
      </c>
      <c r="D33" s="55" t="n">
        <v>386</v>
      </c>
      <c r="E33" s="52" t="n">
        <v>2.8497</v>
      </c>
      <c r="F33" s="52" t="n">
        <v>0.8469</v>
      </c>
    </row>
    <row r="35" customFormat="false" ht="15.75" hidden="false" customHeight="false" outlineLevel="0" collapsed="false">
      <c r="A35" s="98" t="s">
        <v>82</v>
      </c>
    </row>
    <row r="36" customFormat="false" ht="15" hidden="false" customHeight="false" outlineLevel="0" collapsed="false">
      <c r="A36" s="99" t="s">
        <v>83</v>
      </c>
      <c r="B36" s="99" t="s">
        <v>84</v>
      </c>
      <c r="C36" s="99" t="s">
        <v>74</v>
      </c>
      <c r="D36" s="99" t="s">
        <v>11</v>
      </c>
      <c r="E36" s="100" t="s">
        <v>85</v>
      </c>
      <c r="F36" s="100"/>
      <c r="G36" s="100"/>
      <c r="H36" s="101"/>
    </row>
    <row r="37" customFormat="false" ht="15.75" hidden="false" customHeight="false" outlineLevel="0" collapsed="false">
      <c r="A37" s="102"/>
      <c r="B37" s="102"/>
      <c r="C37" s="102" t="s">
        <v>76</v>
      </c>
      <c r="D37" s="102" t="s">
        <v>15</v>
      </c>
      <c r="E37" s="103"/>
      <c r="F37" s="103"/>
      <c r="G37" s="103"/>
      <c r="H37" s="104"/>
    </row>
    <row r="38" customFormat="false" ht="15" hidden="false" customHeight="false" outlineLevel="0" collapsed="false">
      <c r="A38" s="21" t="s">
        <v>86</v>
      </c>
      <c r="B38" s="105" t="s">
        <v>87</v>
      </c>
      <c r="C38" s="105" t="n">
        <v>2</v>
      </c>
      <c r="D38" s="105" t="n">
        <v>263</v>
      </c>
      <c r="E38" s="35" t="s">
        <v>88</v>
      </c>
      <c r="F38" s="29"/>
      <c r="G38" s="29"/>
      <c r="H38" s="106"/>
    </row>
    <row r="39" customFormat="false" ht="15" hidden="false" customHeight="false" outlineLevel="0" collapsed="false">
      <c r="A39" s="21"/>
      <c r="B39" s="105"/>
      <c r="C39" s="105"/>
      <c r="D39" s="105"/>
      <c r="E39" s="35"/>
      <c r="F39" s="29"/>
      <c r="G39" s="29"/>
      <c r="H39" s="106"/>
    </row>
    <row r="40" customFormat="false" ht="15" hidden="false" customHeight="false" outlineLevel="0" collapsed="false">
      <c r="A40" s="21" t="s">
        <v>89</v>
      </c>
      <c r="B40" s="105" t="s">
        <v>87</v>
      </c>
      <c r="C40" s="105" t="n">
        <v>0</v>
      </c>
      <c r="D40" s="105" t="n">
        <v>17</v>
      </c>
      <c r="E40" s="35" t="s">
        <v>90</v>
      </c>
      <c r="F40" s="29"/>
      <c r="G40" s="29"/>
      <c r="H40" s="106"/>
    </row>
    <row r="41" customFormat="false" ht="15" hidden="false" customHeight="false" outlineLevel="0" collapsed="false">
      <c r="A41" s="21"/>
      <c r="B41" s="105"/>
      <c r="C41" s="105"/>
      <c r="D41" s="105"/>
      <c r="E41" s="35"/>
      <c r="F41" s="29"/>
      <c r="G41" s="29"/>
      <c r="H41" s="106"/>
    </row>
    <row r="42" customFormat="false" ht="15" hidden="false" customHeight="false" outlineLevel="0" collapsed="false">
      <c r="A42" s="53" t="s">
        <v>91</v>
      </c>
      <c r="B42" s="107" t="s">
        <v>92</v>
      </c>
      <c r="C42" s="107" t="n">
        <v>9</v>
      </c>
      <c r="D42" s="107" t="n">
        <v>106</v>
      </c>
      <c r="E42" s="45" t="s">
        <v>88</v>
      </c>
      <c r="F42" s="46"/>
      <c r="G42" s="46"/>
      <c r="H42" s="108"/>
    </row>
  </sheetData>
  <mergeCells count="5">
    <mergeCell ref="G4:G5"/>
    <mergeCell ref="I4:I5"/>
    <mergeCell ref="A14:F14"/>
    <mergeCell ref="A21:F21"/>
    <mergeCell ref="F29:F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MJ290"/>
  <sheetViews>
    <sheetView showFormulas="false" showGridLines="true" showRowColHeaders="true" showZeros="true" rightToLeft="false" tabSelected="true" showOutlineSymbols="true" defaultGridColor="true" view="normal" topLeftCell="A75" colorId="64" zoomScale="130" zoomScaleNormal="130" zoomScalePageLayoutView="100" workbookViewId="0">
      <selection pane="topLeft" activeCell="A88" activeCellId="0" sqref="A88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3.57"/>
    <col collapsed="false" customWidth="true" hidden="false" outlineLevel="0" max="2" min="2" style="0" width="18.57"/>
    <col collapsed="false" customWidth="true" hidden="false" outlineLevel="0" max="3" min="3" style="0" width="24.43"/>
    <col collapsed="false" customWidth="true" hidden="false" outlineLevel="0" max="4" min="4" style="0" width="15.57"/>
    <col collapsed="false" customWidth="true" hidden="false" outlineLevel="0" max="5" min="5" style="0" width="18.85"/>
    <col collapsed="false" customWidth="true" hidden="false" outlineLevel="0" max="6" min="6" style="0" width="18.74"/>
    <col collapsed="false" customWidth="true" hidden="false" outlineLevel="0" max="7" min="7" style="0" width="12.43"/>
    <col collapsed="false" customWidth="true" hidden="false" outlineLevel="0" max="8" min="8" style="0" width="14.14"/>
    <col collapsed="false" customWidth="true" hidden="false" outlineLevel="0" max="9" min="9" style="0" width="12.71"/>
    <col collapsed="false" customWidth="true" hidden="false" outlineLevel="0" max="10" min="10" style="0" width="20"/>
    <col collapsed="false" customWidth="true" hidden="false" outlineLevel="0" max="12" min="12" style="0" width="16.85"/>
    <col collapsed="false" customWidth="true" hidden="false" outlineLevel="0" max="18" min="18" style="0" width="17.85"/>
    <col collapsed="false" customWidth="true" hidden="false" outlineLevel="0" max="19" min="19" style="0" width="13.28"/>
    <col collapsed="false" customWidth="true" hidden="false" outlineLevel="0" max="21" min="21" style="0" width="13.14"/>
  </cols>
  <sheetData>
    <row r="2" customFormat="false" ht="15.75" hidden="false" customHeight="false" outlineLevel="0" collapsed="false">
      <c r="A2" s="109" t="s">
        <v>93</v>
      </c>
      <c r="B2" s="2"/>
      <c r="C2" s="2"/>
      <c r="D2" s="2"/>
      <c r="E2" s="2"/>
    </row>
    <row r="3" customFormat="false" ht="36" hidden="false" customHeight="true" outlineLevel="0" collapsed="false">
      <c r="A3" s="110" t="s">
        <v>94</v>
      </c>
      <c r="B3" s="5" t="s">
        <v>95</v>
      </c>
      <c r="C3" s="111" t="s">
        <v>96</v>
      </c>
      <c r="D3" s="111" t="s">
        <v>97</v>
      </c>
      <c r="E3" s="112" t="s">
        <v>98</v>
      </c>
    </row>
    <row r="4" customFormat="false" ht="15" hidden="false" customHeight="false" outlineLevel="0" collapsed="false">
      <c r="A4" s="110"/>
      <c r="B4" s="113" t="s">
        <v>99</v>
      </c>
      <c r="C4" s="114" t="n">
        <v>18</v>
      </c>
      <c r="D4" s="115" t="n">
        <v>0</v>
      </c>
      <c r="E4" s="116" t="n">
        <v>2</v>
      </c>
    </row>
    <row r="5" customFormat="false" ht="15" hidden="false" customHeight="false" outlineLevel="0" collapsed="false">
      <c r="A5" s="110"/>
      <c r="B5" s="117" t="s">
        <v>100</v>
      </c>
      <c r="C5" s="114" t="n">
        <v>14</v>
      </c>
      <c r="D5" s="115" t="n">
        <v>3</v>
      </c>
      <c r="E5" s="116" t="n">
        <v>3</v>
      </c>
    </row>
    <row r="6" customFormat="false" ht="15" hidden="false" customHeight="false" outlineLevel="0" collapsed="false">
      <c r="A6" s="110"/>
      <c r="B6" s="117" t="s">
        <v>101</v>
      </c>
      <c r="C6" s="114" t="n">
        <v>20</v>
      </c>
      <c r="D6" s="115" t="n">
        <v>0</v>
      </c>
      <c r="E6" s="116" t="n">
        <v>0</v>
      </c>
    </row>
    <row r="7" customFormat="false" ht="15.75" hidden="false" customHeight="false" outlineLevel="0" collapsed="false">
      <c r="A7" s="110"/>
      <c r="B7" s="118" t="s">
        <v>102</v>
      </c>
      <c r="C7" s="114" t="n">
        <v>20</v>
      </c>
      <c r="D7" s="115" t="n">
        <v>5</v>
      </c>
      <c r="E7" s="116" t="n">
        <v>0</v>
      </c>
    </row>
    <row r="10" customFormat="false" ht="15.75" hidden="false" customHeight="false" outlineLevel="0" collapsed="false">
      <c r="A10" s="109" t="s">
        <v>103</v>
      </c>
      <c r="B10" s="119"/>
      <c r="C10" s="119"/>
      <c r="D10" s="119"/>
      <c r="E10" s="119"/>
      <c r="F10" s="119"/>
    </row>
    <row r="11" customFormat="false" ht="30" hidden="false" customHeight="false" outlineLevel="0" collapsed="false">
      <c r="A11" s="120" t="s">
        <v>104</v>
      </c>
      <c r="B11" s="5" t="s">
        <v>95</v>
      </c>
      <c r="C11" s="111" t="s">
        <v>105</v>
      </c>
      <c r="D11" s="111" t="s">
        <v>106</v>
      </c>
      <c r="E11" s="111" t="s">
        <v>107</v>
      </c>
      <c r="F11" s="112" t="s">
        <v>108</v>
      </c>
    </row>
    <row r="12" customFormat="false" ht="15" hidden="false" customHeight="false" outlineLevel="0" collapsed="false">
      <c r="A12" s="120"/>
      <c r="B12" s="113" t="s">
        <v>109</v>
      </c>
      <c r="C12" s="114" t="n">
        <v>5</v>
      </c>
      <c r="D12" s="115" t="n">
        <v>16</v>
      </c>
      <c r="E12" s="121" t="n">
        <v>5</v>
      </c>
      <c r="F12" s="116" t="n">
        <v>39.96</v>
      </c>
    </row>
    <row r="13" customFormat="false" ht="15.75" hidden="false" customHeight="false" outlineLevel="0" collapsed="false">
      <c r="A13" s="120"/>
      <c r="B13" s="118" t="s">
        <v>110</v>
      </c>
      <c r="C13" s="114" t="n">
        <v>3</v>
      </c>
      <c r="D13" s="115" t="n">
        <v>15</v>
      </c>
      <c r="E13" s="121" t="n">
        <v>5</v>
      </c>
      <c r="F13" s="116" t="n">
        <v>39.78</v>
      </c>
    </row>
    <row r="16" customFormat="false" ht="15.75" hidden="false" customHeight="false" outlineLevel="0" collapsed="false">
      <c r="A16" s="109" t="s">
        <v>111</v>
      </c>
      <c r="B16" s="109"/>
      <c r="C16" s="119"/>
      <c r="D16" s="119"/>
      <c r="E16" s="119"/>
      <c r="F16" s="119"/>
    </row>
    <row r="17" customFormat="false" ht="15" hidden="false" customHeight="false" outlineLevel="0" collapsed="false">
      <c r="A17" s="120" t="s">
        <v>112</v>
      </c>
      <c r="B17" s="122"/>
      <c r="C17" s="91" t="s">
        <v>113</v>
      </c>
      <c r="D17" s="91"/>
      <c r="E17" s="91"/>
      <c r="F17" s="91"/>
    </row>
    <row r="18" customFormat="false" ht="15" hidden="false" customHeight="false" outlineLevel="0" collapsed="false">
      <c r="A18" s="120"/>
      <c r="B18" s="122"/>
      <c r="C18" s="123" t="s">
        <v>114</v>
      </c>
      <c r="D18" s="124" t="s">
        <v>115</v>
      </c>
      <c r="E18" s="124" t="s">
        <v>116</v>
      </c>
      <c r="F18" s="125" t="s">
        <v>117</v>
      </c>
    </row>
    <row r="19" customFormat="false" ht="15" hidden="false" customHeight="false" outlineLevel="0" collapsed="false">
      <c r="A19" s="120"/>
      <c r="B19" s="65" t="s">
        <v>32</v>
      </c>
      <c r="C19" s="126" t="n">
        <v>8</v>
      </c>
      <c r="D19" s="127" t="n">
        <v>19</v>
      </c>
      <c r="E19" s="127" t="n">
        <v>9</v>
      </c>
      <c r="F19" s="128" t="n">
        <v>0</v>
      </c>
    </row>
    <row r="20" customFormat="false" ht="15" hidden="false" customHeight="false" outlineLevel="0" collapsed="false">
      <c r="A20" s="120"/>
      <c r="B20" s="39" t="s">
        <v>40</v>
      </c>
      <c r="C20" s="126" t="n">
        <v>906</v>
      </c>
      <c r="D20" s="127" t="n">
        <v>573</v>
      </c>
      <c r="E20" s="127" t="n">
        <v>297</v>
      </c>
      <c r="F20" s="128" t="n">
        <v>17</v>
      </c>
    </row>
    <row r="21" customFormat="false" ht="15" hidden="false" customHeight="false" outlineLevel="0" collapsed="false">
      <c r="A21" s="120"/>
      <c r="B21" s="39" t="s">
        <v>118</v>
      </c>
      <c r="C21" s="126" t="n">
        <v>1677</v>
      </c>
      <c r="D21" s="127" t="n">
        <v>133</v>
      </c>
      <c r="E21" s="127" t="n">
        <v>1510</v>
      </c>
      <c r="F21" s="128" t="n">
        <v>753</v>
      </c>
    </row>
    <row r="22" customFormat="false" ht="15.75" hidden="false" customHeight="false" outlineLevel="0" collapsed="false">
      <c r="A22" s="120"/>
      <c r="B22" s="46" t="s">
        <v>119</v>
      </c>
      <c r="C22" s="126" t="n">
        <v>179</v>
      </c>
      <c r="D22" s="127" t="n">
        <v>140</v>
      </c>
      <c r="E22" s="127" t="n">
        <v>953</v>
      </c>
      <c r="F22" s="128" t="n">
        <v>889</v>
      </c>
    </row>
    <row r="25" customFormat="false" ht="15" hidden="false" customHeight="false" outlineLevel="0" collapsed="false">
      <c r="A25" s="109" t="s">
        <v>120</v>
      </c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19"/>
    </row>
    <row r="26" customFormat="false" ht="15.75" hidden="false" customHeight="false" outlineLevel="0" collapsed="false">
      <c r="A26" s="129"/>
      <c r="B26" s="130"/>
      <c r="C26" s="39"/>
      <c r="D26" s="131"/>
      <c r="E26" s="131"/>
      <c r="F26" s="132"/>
      <c r="G26" s="131"/>
      <c r="H26" s="131"/>
      <c r="I26" s="132"/>
      <c r="J26" s="131"/>
      <c r="K26" s="131"/>
      <c r="L26" s="132"/>
    </row>
    <row r="27" customFormat="false" ht="30" hidden="false" customHeight="false" outlineLevel="0" collapsed="false">
      <c r="A27" s="133" t="s">
        <v>1</v>
      </c>
      <c r="B27" s="4" t="s">
        <v>121</v>
      </c>
      <c r="C27" s="134" t="s">
        <v>122</v>
      </c>
      <c r="D27" s="135" t="s">
        <v>10</v>
      </c>
      <c r="E27" s="136" t="s">
        <v>123</v>
      </c>
      <c r="F27" s="132"/>
      <c r="G27" s="131"/>
      <c r="H27" s="131"/>
      <c r="I27" s="132"/>
      <c r="J27" s="131"/>
      <c r="K27" s="131"/>
      <c r="L27" s="132"/>
    </row>
    <row r="28" customFormat="false" ht="15" hidden="false" customHeight="false" outlineLevel="0" collapsed="false">
      <c r="A28" s="60" t="s">
        <v>17</v>
      </c>
      <c r="B28" s="64" t="s">
        <v>124</v>
      </c>
      <c r="C28" s="137" t="n">
        <v>0.02854375</v>
      </c>
      <c r="D28" s="138" t="n">
        <v>0.86</v>
      </c>
      <c r="E28" s="139" t="n">
        <v>16</v>
      </c>
      <c r="F28" s="132"/>
      <c r="G28" s="131"/>
      <c r="H28" s="131"/>
      <c r="I28" s="132"/>
      <c r="J28" s="131"/>
      <c r="K28" s="131"/>
      <c r="L28" s="132"/>
    </row>
    <row r="29" customFormat="false" ht="15" hidden="false" customHeight="false" outlineLevel="0" collapsed="false">
      <c r="A29" s="35"/>
      <c r="B29" s="35" t="s">
        <v>125</v>
      </c>
      <c r="C29" s="140" t="n">
        <v>0.0175</v>
      </c>
      <c r="D29" s="37" t="n">
        <v>0.48</v>
      </c>
      <c r="E29" s="105" t="n">
        <v>16</v>
      </c>
      <c r="F29" s="132"/>
      <c r="G29" s="131"/>
      <c r="H29" s="131"/>
      <c r="I29" s="132"/>
      <c r="J29" s="131"/>
      <c r="K29" s="131"/>
      <c r="L29" s="132"/>
    </row>
    <row r="30" customFormat="false" ht="15" hidden="false" customHeight="false" outlineLevel="0" collapsed="false">
      <c r="A30" s="45"/>
      <c r="B30" s="45" t="s">
        <v>126</v>
      </c>
      <c r="C30" s="141" t="n">
        <v>0.0145</v>
      </c>
      <c r="D30" s="142" t="n">
        <v>0.77</v>
      </c>
      <c r="E30" s="107" t="n">
        <v>9</v>
      </c>
      <c r="F30" s="132"/>
      <c r="G30" s="131"/>
      <c r="H30" s="131"/>
      <c r="I30" s="132"/>
      <c r="J30" s="131"/>
      <c r="K30" s="131"/>
      <c r="L30" s="132"/>
    </row>
    <row r="31" customFormat="false" ht="15.75" hidden="false" customHeight="false" outlineLevel="0" collapsed="false">
      <c r="F31" s="132"/>
      <c r="G31" s="131"/>
      <c r="H31" s="131"/>
      <c r="I31" s="132"/>
      <c r="J31" s="131"/>
      <c r="K31" s="131"/>
      <c r="L31" s="132"/>
    </row>
    <row r="32" customFormat="false" ht="30" hidden="false" customHeight="false" outlineLevel="0" collapsed="false">
      <c r="A32" s="133" t="s">
        <v>1</v>
      </c>
      <c r="B32" s="4" t="s">
        <v>127</v>
      </c>
      <c r="C32" s="134" t="s">
        <v>122</v>
      </c>
      <c r="D32" s="135" t="s">
        <v>10</v>
      </c>
      <c r="E32" s="136" t="s">
        <v>123</v>
      </c>
      <c r="F32" s="132"/>
      <c r="G32" s="131"/>
      <c r="H32" s="131"/>
      <c r="I32" s="132"/>
      <c r="J32" s="131"/>
      <c r="K32" s="131"/>
      <c r="L32" s="132"/>
    </row>
    <row r="33" customFormat="false" ht="15" hidden="false" customHeight="false" outlineLevel="0" collapsed="false">
      <c r="A33" s="60" t="s">
        <v>45</v>
      </c>
      <c r="B33" s="64" t="s">
        <v>124</v>
      </c>
      <c r="C33" s="137" t="n">
        <v>0.051</v>
      </c>
      <c r="D33" s="143" t="n">
        <v>1</v>
      </c>
      <c r="E33" s="139" t="n">
        <v>7</v>
      </c>
      <c r="F33" s="132"/>
      <c r="G33" s="131"/>
      <c r="H33" s="131"/>
      <c r="I33" s="132"/>
      <c r="J33" s="131"/>
      <c r="K33" s="131"/>
      <c r="L33" s="132"/>
    </row>
    <row r="34" customFormat="false" ht="15" hidden="false" customHeight="false" outlineLevel="0" collapsed="false">
      <c r="A34" s="35"/>
      <c r="B34" s="35" t="s">
        <v>125</v>
      </c>
      <c r="C34" s="140" t="n">
        <v>0.0493</v>
      </c>
      <c r="D34" s="37" t="n">
        <v>0.9</v>
      </c>
      <c r="E34" s="105" t="n">
        <v>7</v>
      </c>
      <c r="F34" s="132"/>
      <c r="G34" s="131"/>
      <c r="H34" s="131"/>
      <c r="I34" s="132"/>
      <c r="J34" s="131"/>
      <c r="K34" s="131"/>
      <c r="L34" s="132"/>
    </row>
    <row r="35" customFormat="false" ht="15" hidden="false" customHeight="false" outlineLevel="0" collapsed="false">
      <c r="A35" s="45"/>
      <c r="B35" s="45" t="s">
        <v>126</v>
      </c>
      <c r="C35" s="141" t="n">
        <v>0.0392</v>
      </c>
      <c r="D35" s="142" t="n">
        <v>0.7</v>
      </c>
      <c r="E35" s="107" t="n">
        <v>7</v>
      </c>
      <c r="F35" s="132"/>
      <c r="G35" s="131"/>
      <c r="H35" s="131"/>
      <c r="I35" s="132"/>
      <c r="J35" s="131"/>
      <c r="K35" s="131"/>
      <c r="L35" s="132"/>
    </row>
    <row r="36" customFormat="false" ht="15.75" hidden="false" customHeight="false" outlineLevel="0" collapsed="false">
      <c r="F36" s="132"/>
      <c r="G36" s="131"/>
      <c r="H36" s="131"/>
      <c r="I36" s="132"/>
      <c r="J36" s="131"/>
      <c r="K36" s="131"/>
      <c r="L36" s="132"/>
    </row>
    <row r="37" customFormat="false" ht="30" hidden="false" customHeight="false" outlineLevel="0" collapsed="false">
      <c r="A37" s="133" t="s">
        <v>1</v>
      </c>
      <c r="B37" s="4" t="s">
        <v>128</v>
      </c>
      <c r="C37" s="134" t="s">
        <v>122</v>
      </c>
      <c r="D37" s="135" t="s">
        <v>10</v>
      </c>
      <c r="E37" s="136" t="s">
        <v>123</v>
      </c>
      <c r="F37" s="132"/>
      <c r="G37" s="131"/>
      <c r="H37" s="131"/>
      <c r="I37" s="132"/>
      <c r="J37" s="131"/>
      <c r="K37" s="131"/>
      <c r="L37" s="132"/>
    </row>
    <row r="38" customFormat="false" ht="15" hidden="false" customHeight="false" outlineLevel="0" collapsed="false">
      <c r="A38" s="60" t="s">
        <v>47</v>
      </c>
      <c r="B38" s="64" t="s">
        <v>124</v>
      </c>
      <c r="C38" s="137" t="n">
        <v>0.0515</v>
      </c>
      <c r="D38" s="138" t="n">
        <v>0.66</v>
      </c>
      <c r="E38" s="139" t="n">
        <v>6</v>
      </c>
      <c r="F38" s="132"/>
      <c r="G38" s="131"/>
      <c r="H38" s="131"/>
      <c r="I38" s="132"/>
      <c r="J38" s="131"/>
      <c r="K38" s="131"/>
      <c r="L38" s="132"/>
    </row>
    <row r="39" customFormat="false" ht="15" hidden="false" customHeight="false" outlineLevel="0" collapsed="false">
      <c r="A39" s="35"/>
      <c r="B39" s="35" t="s">
        <v>125</v>
      </c>
      <c r="C39" s="140" t="n">
        <v>0.0667</v>
      </c>
      <c r="D39" s="37" t="n">
        <v>0.94</v>
      </c>
      <c r="E39" s="105" t="n">
        <v>5</v>
      </c>
      <c r="F39" s="132"/>
      <c r="G39" s="131"/>
      <c r="H39" s="131"/>
      <c r="I39" s="132"/>
      <c r="J39" s="131"/>
      <c r="K39" s="131"/>
      <c r="L39" s="132"/>
    </row>
    <row r="40" customFormat="false" ht="15" hidden="false" customHeight="false" outlineLevel="0" collapsed="false">
      <c r="A40" s="45"/>
      <c r="B40" s="45" t="s">
        <v>126</v>
      </c>
      <c r="C40" s="141" t="n">
        <v>0.0473</v>
      </c>
      <c r="D40" s="142" t="n">
        <v>0.99</v>
      </c>
      <c r="E40" s="107" t="n">
        <v>5</v>
      </c>
      <c r="F40" s="132"/>
      <c r="G40" s="131"/>
      <c r="H40" s="131"/>
      <c r="I40" s="132"/>
      <c r="J40" s="131"/>
      <c r="K40" s="131"/>
      <c r="L40" s="132"/>
    </row>
    <row r="41" customFormat="false" ht="15" hidden="false" customHeight="false" outlineLevel="0" collapsed="false">
      <c r="A41" s="129"/>
      <c r="B41" s="130"/>
      <c r="C41" s="39"/>
      <c r="D41" s="131"/>
      <c r="E41" s="131"/>
      <c r="F41" s="132"/>
      <c r="G41" s="131"/>
      <c r="H41" s="131"/>
      <c r="I41" s="132"/>
      <c r="J41" s="131"/>
      <c r="K41" s="131"/>
      <c r="L41" s="132"/>
    </row>
    <row r="42" customFormat="false" ht="15.75" hidden="false" customHeight="false" outlineLevel="0" collapsed="false"/>
    <row r="43" customFormat="false" ht="15" hidden="false" customHeight="false" outlineLevel="0" collapsed="false">
      <c r="A43" s="133" t="s">
        <v>1</v>
      </c>
      <c r="B43" s="136" t="s">
        <v>128</v>
      </c>
      <c r="C43" s="91" t="s">
        <v>129</v>
      </c>
      <c r="D43" s="91"/>
      <c r="E43" s="91"/>
      <c r="F43" s="136" t="s">
        <v>130</v>
      </c>
      <c r="G43" s="136"/>
      <c r="H43" s="136"/>
    </row>
    <row r="44" customFormat="false" ht="15" hidden="false" customHeight="false" outlineLevel="0" collapsed="false">
      <c r="A44" s="133"/>
      <c r="B44" s="136"/>
      <c r="C44" s="123" t="s">
        <v>131</v>
      </c>
      <c r="D44" s="124" t="s">
        <v>132</v>
      </c>
      <c r="E44" s="125" t="s">
        <v>133</v>
      </c>
      <c r="F44" s="124" t="s">
        <v>131</v>
      </c>
      <c r="G44" s="124" t="s">
        <v>132</v>
      </c>
      <c r="H44" s="125" t="s">
        <v>133</v>
      </c>
    </row>
    <row r="45" customFormat="false" ht="15" hidden="false" customHeight="false" outlineLevel="0" collapsed="false">
      <c r="A45" s="144" t="s">
        <v>134</v>
      </c>
      <c r="B45" s="145" t="s">
        <v>135</v>
      </c>
      <c r="C45" s="146" t="n">
        <v>79.3893129770992</v>
      </c>
      <c r="D45" s="147" t="n">
        <v>83.0948282434037</v>
      </c>
      <c r="E45" s="148" t="n">
        <v>75.1148156497696</v>
      </c>
      <c r="F45" s="147" t="n">
        <v>20.6106870229008</v>
      </c>
      <c r="G45" s="147" t="n">
        <v>24.8851843502304</v>
      </c>
      <c r="H45" s="149" t="n">
        <v>16.9051717565963</v>
      </c>
    </row>
    <row r="46" customFormat="false" ht="15.75" hidden="false" customHeight="false" outlineLevel="0" collapsed="false">
      <c r="A46" s="144"/>
      <c r="B46" s="150" t="s">
        <v>136</v>
      </c>
      <c r="C46" s="151" t="n">
        <v>97.6282880551962</v>
      </c>
      <c r="D46" s="152" t="n">
        <v>98.1733240890008</v>
      </c>
      <c r="E46" s="153" t="n">
        <v>96.9257190080476</v>
      </c>
      <c r="F46" s="152" t="n">
        <v>2.3717119448038</v>
      </c>
      <c r="G46" s="152" t="n">
        <v>3.07428099195241</v>
      </c>
      <c r="H46" s="154" t="n">
        <v>1.82667591099917</v>
      </c>
    </row>
    <row r="47" customFormat="false" ht="15" hidden="false" customHeight="false" outlineLevel="0" collapsed="false">
      <c r="A47" s="155" t="s">
        <v>137</v>
      </c>
      <c r="B47" s="156" t="s">
        <v>135</v>
      </c>
      <c r="C47" s="157" t="n">
        <v>73.8095238095238</v>
      </c>
      <c r="D47" s="158" t="n">
        <v>78.505121878811</v>
      </c>
      <c r="E47" s="159" t="n">
        <v>68.4997513024886</v>
      </c>
      <c r="F47" s="158" t="n">
        <v>26.1904761904762</v>
      </c>
      <c r="G47" s="158" t="n">
        <v>31.5002486975114</v>
      </c>
      <c r="H47" s="160" t="n">
        <v>21.494878121189</v>
      </c>
    </row>
    <row r="48" customFormat="false" ht="15" hidden="false" customHeight="false" outlineLevel="0" collapsed="false">
      <c r="A48" s="155"/>
      <c r="B48" s="161" t="s">
        <v>136</v>
      </c>
      <c r="C48" s="162" t="n">
        <v>95.056403450564</v>
      </c>
      <c r="D48" s="163" t="n">
        <v>95.7745881317855</v>
      </c>
      <c r="E48" s="164" t="n">
        <v>94.2235127313842</v>
      </c>
      <c r="F48" s="163" t="n">
        <v>4.94359654943597</v>
      </c>
      <c r="G48" s="163" t="n">
        <v>5.77648726861576</v>
      </c>
      <c r="H48" s="165" t="n">
        <v>4.22541186821455</v>
      </c>
    </row>
    <row r="51" customFormat="false" ht="15.75" hidden="false" customHeight="false" outlineLevel="0" collapsed="false">
      <c r="A51" s="109" t="s">
        <v>138</v>
      </c>
      <c r="B51" s="2"/>
      <c r="C51" s="2"/>
      <c r="D51" s="2"/>
      <c r="E51" s="2"/>
    </row>
    <row r="52" customFormat="false" ht="30.75" hidden="false" customHeight="false" outlineLevel="0" collapsed="false">
      <c r="A52" s="166" t="s">
        <v>6</v>
      </c>
      <c r="B52" s="3" t="s">
        <v>95</v>
      </c>
      <c r="C52" s="111" t="s">
        <v>96</v>
      </c>
      <c r="D52" s="111" t="s">
        <v>97</v>
      </c>
      <c r="E52" s="112" t="s">
        <v>98</v>
      </c>
    </row>
    <row r="53" customFormat="false" ht="15" hidden="false" customHeight="false" outlineLevel="0" collapsed="false">
      <c r="A53" s="167" t="s">
        <v>49</v>
      </c>
      <c r="B53" s="168" t="s">
        <v>139</v>
      </c>
      <c r="C53" s="114" t="n">
        <v>18</v>
      </c>
      <c r="D53" s="115" t="n">
        <v>2</v>
      </c>
      <c r="E53" s="116" t="n">
        <v>0</v>
      </c>
    </row>
    <row r="54" customFormat="false" ht="15" hidden="false" customHeight="false" outlineLevel="0" collapsed="false">
      <c r="A54" s="167"/>
      <c r="B54" s="169" t="s">
        <v>140</v>
      </c>
      <c r="C54" s="114" t="n">
        <v>20</v>
      </c>
      <c r="D54" s="115" t="n">
        <v>0</v>
      </c>
      <c r="E54" s="116" t="n">
        <v>0</v>
      </c>
    </row>
    <row r="55" customFormat="false" ht="15" hidden="false" customHeight="false" outlineLevel="0" collapsed="false">
      <c r="A55" s="167"/>
      <c r="B55" s="170" t="s">
        <v>141</v>
      </c>
      <c r="C55" s="114" t="n">
        <v>20</v>
      </c>
      <c r="D55" s="115" t="n">
        <v>0</v>
      </c>
      <c r="E55" s="116" t="n">
        <v>0</v>
      </c>
    </row>
    <row r="58" customFormat="false" ht="15.75" hidden="false" customHeight="false" outlineLevel="0" collapsed="false">
      <c r="A58" s="1" t="s">
        <v>142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customFormat="false" ht="16.5" hidden="false" customHeight="false" outlineLevel="0" collapsed="false"/>
    <row r="60" customFormat="false" ht="15" hidden="false" customHeight="false" outlineLevel="0" collapsed="false">
      <c r="A60" s="4" t="s">
        <v>6</v>
      </c>
      <c r="B60" s="4" t="s">
        <v>2</v>
      </c>
      <c r="C60" s="3" t="s">
        <v>3</v>
      </c>
      <c r="D60" s="5"/>
      <c r="E60" s="6"/>
      <c r="F60" s="4" t="s">
        <v>143</v>
      </c>
    </row>
    <row r="61" customFormat="false" ht="15.75" hidden="false" customHeight="false" outlineLevel="0" collapsed="false">
      <c r="A61" s="16"/>
      <c r="B61" s="16"/>
      <c r="C61" s="11" t="s">
        <v>9</v>
      </c>
      <c r="D61" s="12" t="s">
        <v>10</v>
      </c>
      <c r="E61" s="13" t="s">
        <v>11</v>
      </c>
      <c r="F61" s="16"/>
    </row>
    <row r="62" customFormat="false" ht="15" hidden="false" customHeight="false" outlineLevel="0" collapsed="false">
      <c r="A62" s="171" t="s">
        <v>144</v>
      </c>
      <c r="B62" s="53" t="s">
        <v>145</v>
      </c>
      <c r="C62" s="172" t="n">
        <v>71.2</v>
      </c>
      <c r="D62" s="47" t="n">
        <v>8.3</v>
      </c>
      <c r="E62" s="173" t="n">
        <v>30</v>
      </c>
      <c r="F62" s="107" t="n">
        <v>37</v>
      </c>
    </row>
    <row r="63" customFormat="false" ht="15.75" hidden="false" customHeight="false" outlineLevel="0" collapsed="false">
      <c r="A63" s="29"/>
      <c r="B63" s="29"/>
      <c r="C63" s="81"/>
      <c r="D63" s="81"/>
      <c r="E63" s="32"/>
      <c r="F63" s="29"/>
    </row>
    <row r="64" customFormat="false" ht="15" hidden="false" customHeight="false" outlineLevel="0" collapsed="false">
      <c r="A64" s="4" t="s">
        <v>6</v>
      </c>
      <c r="B64" s="4" t="s">
        <v>2</v>
      </c>
      <c r="C64" s="3" t="s">
        <v>11</v>
      </c>
      <c r="D64" s="5"/>
      <c r="E64" s="5"/>
      <c r="F64" s="6"/>
      <c r="G64" s="4" t="s">
        <v>143</v>
      </c>
      <c r="H64" s="3" t="s">
        <v>146</v>
      </c>
      <c r="I64" s="5"/>
      <c r="J64" s="5"/>
      <c r="K64" s="5"/>
      <c r="L64" s="5"/>
      <c r="M64" s="5"/>
      <c r="N64" s="5"/>
      <c r="O64" s="5"/>
      <c r="P64" s="6"/>
    </row>
    <row r="65" customFormat="false" ht="30.75" hidden="false" customHeight="false" outlineLevel="0" collapsed="false">
      <c r="A65" s="16"/>
      <c r="B65" s="16"/>
      <c r="C65" s="11" t="s">
        <v>12</v>
      </c>
      <c r="D65" s="12" t="s">
        <v>13</v>
      </c>
      <c r="E65" s="12" t="s">
        <v>14</v>
      </c>
      <c r="F65" s="13" t="s">
        <v>15</v>
      </c>
      <c r="G65" s="16"/>
      <c r="H65" s="11" t="s">
        <v>12</v>
      </c>
      <c r="I65" s="174" t="s">
        <v>132</v>
      </c>
      <c r="J65" s="174" t="s">
        <v>133</v>
      </c>
      <c r="K65" s="12" t="s">
        <v>13</v>
      </c>
      <c r="L65" s="174" t="s">
        <v>147</v>
      </c>
      <c r="M65" s="174" t="s">
        <v>133</v>
      </c>
      <c r="N65" s="12" t="s">
        <v>14</v>
      </c>
      <c r="O65" s="174" t="s">
        <v>147</v>
      </c>
      <c r="P65" s="175" t="s">
        <v>133</v>
      </c>
    </row>
    <row r="66" customFormat="false" ht="15" hidden="false" customHeight="false" outlineLevel="0" collapsed="false">
      <c r="A66" s="171" t="s">
        <v>148</v>
      </c>
      <c r="B66" s="53" t="s">
        <v>145</v>
      </c>
      <c r="C66" s="58" t="n">
        <v>29</v>
      </c>
      <c r="D66" s="48" t="n">
        <v>1</v>
      </c>
      <c r="E66" s="48" t="n">
        <v>0</v>
      </c>
      <c r="F66" s="49" t="n">
        <f aca="false">C66+D66+E66</f>
        <v>30</v>
      </c>
      <c r="G66" s="54" t="n">
        <v>37</v>
      </c>
      <c r="H66" s="50" t="n">
        <v>0.967</v>
      </c>
      <c r="I66" s="176" t="n">
        <v>0.998290223520415</v>
      </c>
      <c r="J66" s="176" t="n">
        <v>0.833296090085909</v>
      </c>
      <c r="K66" s="176" t="n">
        <v>0.033</v>
      </c>
      <c r="L66" s="176" t="n">
        <v>0.166703909914091</v>
      </c>
      <c r="M66" s="176" t="n">
        <v>0.00170977647958502</v>
      </c>
      <c r="N66" s="90" t="n">
        <v>0</v>
      </c>
      <c r="O66" s="176" t="n">
        <v>0.113513393173968</v>
      </c>
      <c r="P66" s="177" t="n">
        <v>0</v>
      </c>
    </row>
    <row r="67" customFormat="false" ht="15" hidden="false" customHeight="false" outlineLevel="0" collapsed="false">
      <c r="A67" s="29"/>
      <c r="B67" s="29"/>
      <c r="C67" s="81"/>
      <c r="D67" s="81"/>
      <c r="E67" s="32"/>
      <c r="F67" s="29"/>
    </row>
    <row r="68" customFormat="false" ht="15" hidden="false" customHeight="false" outlineLevel="0" collapsed="false">
      <c r="A68" s="98" t="s">
        <v>149</v>
      </c>
      <c r="E68" s="23"/>
    </row>
    <row r="71" customFormat="false" ht="15.75" hidden="false" customHeight="false" outlineLevel="0" collapsed="false">
      <c r="A71" s="1" t="s">
        <v>150</v>
      </c>
      <c r="B71" s="2"/>
      <c r="C71" s="2"/>
      <c r="D71" s="2"/>
    </row>
    <row r="72" customFormat="false" ht="16.5" hidden="false" customHeight="false" outlineLevel="0" collapsed="false"/>
    <row r="73" customFormat="false" ht="15" hidden="false" customHeight="true" outlineLevel="0" collapsed="false">
      <c r="A73" s="95" t="s">
        <v>151</v>
      </c>
      <c r="B73" s="5" t="s">
        <v>152</v>
      </c>
      <c r="C73" s="5"/>
      <c r="D73" s="6"/>
    </row>
    <row r="74" customFormat="false" ht="34.5" hidden="false" customHeight="true" outlineLevel="0" collapsed="false">
      <c r="A74" s="95"/>
      <c r="B74" s="12" t="s">
        <v>9</v>
      </c>
      <c r="C74" s="12" t="s">
        <v>10</v>
      </c>
      <c r="D74" s="13" t="s">
        <v>11</v>
      </c>
    </row>
    <row r="75" customFormat="false" ht="15" hidden="false" customHeight="false" outlineLevel="0" collapsed="false">
      <c r="A75" s="21" t="s">
        <v>18</v>
      </c>
      <c r="B75" s="36" t="n">
        <v>2.642</v>
      </c>
      <c r="C75" s="37" t="n">
        <v>0.4305</v>
      </c>
      <c r="D75" s="28" t="n">
        <v>49</v>
      </c>
    </row>
    <row r="76" customFormat="false" ht="15" hidden="false" customHeight="false" outlineLevel="0" collapsed="false">
      <c r="A76" s="21" t="s">
        <v>29</v>
      </c>
      <c r="B76" s="36" t="n">
        <v>2.658</v>
      </c>
      <c r="C76" s="37" t="n">
        <v>0.4373</v>
      </c>
      <c r="D76" s="28" t="n">
        <v>21</v>
      </c>
    </row>
    <row r="77" customFormat="false" ht="15" hidden="false" customHeight="false" outlineLevel="0" collapsed="false">
      <c r="A77" s="21" t="s">
        <v>32</v>
      </c>
      <c r="B77" s="36" t="n">
        <v>2.698</v>
      </c>
      <c r="C77" s="37" t="n">
        <v>0.3582</v>
      </c>
      <c r="D77" s="28" t="n">
        <v>50</v>
      </c>
    </row>
    <row r="78" customFormat="false" ht="15" hidden="false" customHeight="false" outlineLevel="0" collapsed="false">
      <c r="A78" s="21" t="s">
        <v>36</v>
      </c>
      <c r="B78" s="36" t="n">
        <v>2.281</v>
      </c>
      <c r="C78" s="37" t="n">
        <v>0.5528</v>
      </c>
      <c r="D78" s="28" t="n">
        <v>18</v>
      </c>
    </row>
    <row r="79" customFormat="false" ht="15" hidden="false" customHeight="false" outlineLevel="0" collapsed="false">
      <c r="A79" s="21" t="s">
        <v>38</v>
      </c>
      <c r="B79" s="36" t="n">
        <v>2.105</v>
      </c>
      <c r="C79" s="37" t="n">
        <v>0.3114</v>
      </c>
      <c r="D79" s="28" t="n">
        <v>17</v>
      </c>
    </row>
    <row r="80" customFormat="false" ht="15" hidden="false" customHeight="false" outlineLevel="0" collapsed="false">
      <c r="A80" s="53" t="s">
        <v>40</v>
      </c>
      <c r="B80" s="178" t="n">
        <v>1.589</v>
      </c>
      <c r="C80" s="142" t="n">
        <v>0.1688</v>
      </c>
      <c r="D80" s="173" t="n">
        <v>15</v>
      </c>
    </row>
    <row r="81" customFormat="false" ht="15" hidden="false" customHeight="false" outlineLevel="0" collapsed="false">
      <c r="A81" s="98" t="s">
        <v>149</v>
      </c>
    </row>
    <row r="84" customFormat="false" ht="15.75" hidden="false" customHeight="false" outlineLevel="0" collapsed="false">
      <c r="A84" s="1" t="s">
        <v>153</v>
      </c>
      <c r="B84" s="2"/>
      <c r="C84" s="2"/>
      <c r="D84" s="2"/>
      <c r="E84" s="2"/>
    </row>
    <row r="85" customFormat="false" ht="15.75" hidden="false" customHeight="false" outlineLevel="0" collapsed="false"/>
    <row r="86" customFormat="false" ht="15" hidden="false" customHeight="false" outlineLevel="0" collapsed="false">
      <c r="A86" s="0" t="s">
        <v>154</v>
      </c>
    </row>
    <row r="88" customFormat="false" ht="15" hidden="false" customHeight="false" outlineLevel="0" collapsed="false">
      <c r="A88" s="0" t="s">
        <v>155</v>
      </c>
    </row>
    <row r="91" customFormat="false" ht="15.75" hidden="false" customHeight="false" outlineLevel="0" collapsed="false">
      <c r="A91" s="1" t="s">
        <v>156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customFormat="false" ht="15.75" hidden="false" customHeight="false" outlineLevel="0" collapsed="false">
      <c r="A92" s="4" t="s">
        <v>6</v>
      </c>
      <c r="B92" s="3" t="s">
        <v>2</v>
      </c>
      <c r="C92" s="3" t="s">
        <v>7</v>
      </c>
      <c r="D92" s="5"/>
      <c r="E92" s="5"/>
      <c r="F92" s="6"/>
      <c r="G92" s="3" t="s">
        <v>8</v>
      </c>
      <c r="H92" s="5"/>
      <c r="I92" s="5"/>
      <c r="J92" s="5"/>
      <c r="K92" s="5"/>
      <c r="L92" s="6"/>
    </row>
    <row r="93" customFormat="false" ht="37.5" hidden="false" customHeight="true" outlineLevel="0" collapsed="false">
      <c r="A93" s="16"/>
      <c r="B93" s="17"/>
      <c r="C93" s="11" t="s">
        <v>12</v>
      </c>
      <c r="D93" s="12" t="s">
        <v>13</v>
      </c>
      <c r="E93" s="12" t="s">
        <v>14</v>
      </c>
      <c r="F93" s="13" t="s">
        <v>15</v>
      </c>
      <c r="G93" s="17" t="s">
        <v>12</v>
      </c>
      <c r="H93" s="179" t="s">
        <v>54</v>
      </c>
      <c r="I93" s="18" t="s">
        <v>13</v>
      </c>
      <c r="J93" s="179" t="s">
        <v>54</v>
      </c>
      <c r="K93" s="18" t="s">
        <v>14</v>
      </c>
      <c r="L93" s="180" t="s">
        <v>54</v>
      </c>
    </row>
    <row r="94" customFormat="false" ht="15" hidden="false" customHeight="false" outlineLevel="0" collapsed="false">
      <c r="A94" s="181" t="s">
        <v>27</v>
      </c>
      <c r="B94" s="53" t="s">
        <v>18</v>
      </c>
      <c r="C94" s="172" t="n">
        <v>21</v>
      </c>
      <c r="D94" s="48" t="n">
        <v>12</v>
      </c>
      <c r="E94" s="48" t="n">
        <v>6</v>
      </c>
      <c r="F94" s="49" t="n">
        <f aca="false">C94+D94+E94</f>
        <v>39</v>
      </c>
      <c r="G94" s="89" t="n">
        <f aca="false">C94/F94*100</f>
        <v>53.8461538461539</v>
      </c>
      <c r="H94" s="90" t="n">
        <v>7.982637</v>
      </c>
      <c r="I94" s="90" t="n">
        <f aca="false">D94/F94*100</f>
        <v>30.7692307692308</v>
      </c>
      <c r="J94" s="90" t="n">
        <v>7.390581</v>
      </c>
      <c r="K94" s="90" t="n">
        <v>15.3846153846154</v>
      </c>
      <c r="L94" s="182" t="n">
        <v>1.970517</v>
      </c>
    </row>
    <row r="95" customFormat="false" ht="15" hidden="false" customHeight="false" outlineLevel="0" collapsed="false">
      <c r="A95" s="183" t="s">
        <v>78</v>
      </c>
      <c r="B95" s="93" t="s">
        <v>32</v>
      </c>
      <c r="C95" s="184" t="n">
        <v>15</v>
      </c>
      <c r="D95" s="185" t="n">
        <v>8</v>
      </c>
      <c r="E95" s="185" t="n">
        <v>5</v>
      </c>
      <c r="F95" s="186" t="n">
        <f aca="false">C95+D95+E95</f>
        <v>28</v>
      </c>
      <c r="G95" s="187" t="n">
        <f aca="false">C95/F95*100</f>
        <v>53.5714285714286</v>
      </c>
      <c r="H95" s="188" t="n">
        <v>9.424995</v>
      </c>
      <c r="I95" s="188" t="n">
        <f aca="false">D95/F95*100</f>
        <v>28.5714285714286</v>
      </c>
      <c r="J95" s="188" t="n">
        <v>8.537219</v>
      </c>
      <c r="K95" s="188" t="n">
        <v>17.8571428571429</v>
      </c>
      <c r="L95" s="189" t="n">
        <v>7.238341</v>
      </c>
    </row>
    <row r="96" customFormat="false" ht="15" hidden="false" customHeight="false" outlineLevel="0" collapsed="false">
      <c r="A96" s="183" t="s">
        <v>157</v>
      </c>
      <c r="B96" s="53" t="s">
        <v>36</v>
      </c>
      <c r="C96" s="172" t="n">
        <v>20</v>
      </c>
      <c r="D96" s="48" t="n">
        <v>15</v>
      </c>
      <c r="E96" s="48" t="n">
        <v>19</v>
      </c>
      <c r="F96" s="49" t="n">
        <f aca="false">C96+D96+E96</f>
        <v>54</v>
      </c>
      <c r="G96" s="187" t="n">
        <f aca="false">C96/F96*100</f>
        <v>37.037037037037</v>
      </c>
      <c r="H96" s="188" t="n">
        <v>6.571598</v>
      </c>
      <c r="I96" s="188" t="n">
        <f aca="false">D96/F96*100</f>
        <v>27.7777777777778</v>
      </c>
      <c r="J96" s="188" t="n">
        <v>6.095341</v>
      </c>
      <c r="K96" s="188" t="n">
        <v>35.1851851851852</v>
      </c>
      <c r="L96" s="189" t="n">
        <v>6.498809</v>
      </c>
    </row>
    <row r="99" customFormat="false" ht="15" hidden="false" customHeight="false" outlineLevel="0" collapsed="false">
      <c r="A99" s="0" t="s">
        <v>158</v>
      </c>
    </row>
    <row r="102" customFormat="false" ht="15.75" hidden="false" customHeight="false" outlineLevel="0" collapsed="false">
      <c r="A102" s="109" t="s">
        <v>159</v>
      </c>
      <c r="B102" s="119"/>
      <c r="C102" s="119"/>
      <c r="D102" s="119"/>
      <c r="E102" s="119"/>
      <c r="F102" s="119"/>
      <c r="G102" s="119"/>
      <c r="H102" s="119"/>
      <c r="I102" s="119"/>
      <c r="J102" s="119"/>
    </row>
    <row r="103" customFormat="false" ht="15" hidden="false" customHeight="false" outlineLevel="0" collapsed="false">
      <c r="A103" s="4" t="s">
        <v>6</v>
      </c>
      <c r="B103" s="190" t="s">
        <v>160</v>
      </c>
      <c r="C103" s="190"/>
      <c r="D103" s="190"/>
      <c r="E103" s="191" t="s">
        <v>161</v>
      </c>
      <c r="F103" s="191"/>
      <c r="G103" s="191"/>
      <c r="H103" s="190" t="s">
        <v>162</v>
      </c>
      <c r="I103" s="190"/>
      <c r="J103" s="190"/>
    </row>
    <row r="104" customFormat="false" ht="15.75" hidden="false" customHeight="false" outlineLevel="0" collapsed="false">
      <c r="A104" s="16"/>
      <c r="B104" s="192" t="s">
        <v>9</v>
      </c>
      <c r="C104" s="193" t="s">
        <v>163</v>
      </c>
      <c r="D104" s="194" t="s">
        <v>164</v>
      </c>
      <c r="E104" s="193" t="s">
        <v>9</v>
      </c>
      <c r="F104" s="193" t="s">
        <v>163</v>
      </c>
      <c r="G104" s="193" t="s">
        <v>164</v>
      </c>
      <c r="H104" s="192" t="s">
        <v>9</v>
      </c>
      <c r="I104" s="193" t="s">
        <v>163</v>
      </c>
      <c r="J104" s="194" t="s">
        <v>164</v>
      </c>
    </row>
    <row r="105" customFormat="false" ht="15" hidden="false" customHeight="false" outlineLevel="0" collapsed="false">
      <c r="A105" s="171" t="s">
        <v>144</v>
      </c>
      <c r="B105" s="53" t="n">
        <v>63385</v>
      </c>
      <c r="C105" s="53" t="n">
        <v>7308</v>
      </c>
      <c r="D105" s="53" t="n">
        <v>10</v>
      </c>
      <c r="E105" s="53" t="n">
        <v>81182</v>
      </c>
      <c r="F105" s="53" t="n">
        <v>9414</v>
      </c>
      <c r="G105" s="53" t="n">
        <v>10</v>
      </c>
      <c r="H105" s="53" t="n">
        <v>74865</v>
      </c>
      <c r="I105" s="53" t="n">
        <v>11059</v>
      </c>
      <c r="J105" s="53" t="n">
        <v>10</v>
      </c>
    </row>
    <row r="106" customFormat="false" ht="15" hidden="false" customHeight="false" outlineLevel="0" collapsed="false">
      <c r="A106" s="195" t="s">
        <v>148</v>
      </c>
      <c r="B106" s="196" t="n">
        <v>17887382</v>
      </c>
      <c r="C106" s="196" t="n">
        <v>3206583</v>
      </c>
      <c r="D106" s="196" t="n">
        <v>10</v>
      </c>
      <c r="E106" s="196" t="n">
        <v>24793588</v>
      </c>
      <c r="F106" s="196" t="n">
        <v>7259692</v>
      </c>
      <c r="G106" s="196" t="n">
        <v>10</v>
      </c>
      <c r="H106" s="196" t="n">
        <v>6954517</v>
      </c>
      <c r="I106" s="196" t="n">
        <v>1964072</v>
      </c>
      <c r="J106" s="196" t="n">
        <v>10</v>
      </c>
    </row>
    <row r="109" customFormat="false" ht="15.75" hidden="false" customHeight="false" outlineLevel="0" collapsed="false">
      <c r="A109" s="109" t="s">
        <v>165</v>
      </c>
      <c r="B109" s="119"/>
      <c r="C109" s="119"/>
      <c r="D109" s="119"/>
      <c r="E109" s="119"/>
      <c r="F109" s="119"/>
      <c r="G109" s="119"/>
      <c r="H109" s="119"/>
      <c r="I109" s="119"/>
    </row>
    <row r="110" customFormat="false" ht="15" hidden="false" customHeight="true" outlineLevel="0" collapsed="false">
      <c r="A110" s="4" t="s">
        <v>6</v>
      </c>
      <c r="B110" s="197" t="s">
        <v>166</v>
      </c>
      <c r="C110" s="198" t="s">
        <v>167</v>
      </c>
      <c r="D110" s="199" t="s">
        <v>164</v>
      </c>
      <c r="E110" s="95" t="s">
        <v>168</v>
      </c>
    </row>
    <row r="111" customFormat="false" ht="15.75" hidden="false" customHeight="false" outlineLevel="0" collapsed="false">
      <c r="A111" s="16"/>
      <c r="B111" s="197"/>
      <c r="C111" s="198"/>
      <c r="D111" s="199"/>
      <c r="E111" s="95"/>
    </row>
    <row r="112" customFormat="false" ht="15" hidden="false" customHeight="false" outlineLevel="0" collapsed="false">
      <c r="A112" s="171" t="s">
        <v>148</v>
      </c>
      <c r="B112" s="53" t="n">
        <v>0.8317</v>
      </c>
      <c r="C112" s="53" t="n">
        <v>2.316</v>
      </c>
      <c r="D112" s="53" t="n">
        <v>19</v>
      </c>
      <c r="E112" s="53" t="n">
        <v>0.446</v>
      </c>
    </row>
    <row r="113" customFormat="false" ht="15.75" hidden="false" customHeight="false" outlineLevel="0" collapsed="false">
      <c r="A113" s="200"/>
    </row>
    <row r="114" customFormat="false" ht="15" hidden="false" customHeight="true" outlineLevel="0" collapsed="false">
      <c r="A114" s="4" t="s">
        <v>6</v>
      </c>
      <c r="B114" s="197" t="s">
        <v>169</v>
      </c>
      <c r="C114" s="197" t="s">
        <v>170</v>
      </c>
      <c r="D114" s="198" t="s">
        <v>163</v>
      </c>
      <c r="E114" s="199" t="s">
        <v>164</v>
      </c>
      <c r="F114" s="201" t="s">
        <v>171</v>
      </c>
      <c r="G114" s="202" t="s">
        <v>23</v>
      </c>
      <c r="H114" s="202" t="s">
        <v>172</v>
      </c>
      <c r="I114" s="203" t="s">
        <v>173</v>
      </c>
    </row>
    <row r="115" customFormat="false" ht="15.75" hidden="false" customHeight="false" outlineLevel="0" collapsed="false">
      <c r="A115" s="16"/>
      <c r="B115" s="197"/>
      <c r="C115" s="197"/>
      <c r="D115" s="198"/>
      <c r="E115" s="199"/>
      <c r="F115" s="201"/>
      <c r="G115" s="202"/>
      <c r="H115" s="202"/>
      <c r="I115" s="203"/>
      <c r="J115" s="73"/>
      <c r="K115" s="73"/>
    </row>
    <row r="116" customFormat="false" ht="15" hidden="false" customHeight="false" outlineLevel="0" collapsed="false">
      <c r="A116" s="204" t="s">
        <v>174</v>
      </c>
      <c r="B116" s="53" t="n">
        <v>1</v>
      </c>
      <c r="C116" s="205" t="n">
        <v>1.248</v>
      </c>
      <c r="D116" s="205" t="n">
        <v>0.1423</v>
      </c>
      <c r="E116" s="53" t="n">
        <v>8</v>
      </c>
      <c r="F116" s="206" t="s">
        <v>175</v>
      </c>
      <c r="G116" s="207" t="n">
        <v>3.313</v>
      </c>
      <c r="H116" s="206" t="s">
        <v>176</v>
      </c>
      <c r="I116" s="207" t="n">
        <v>0.6766</v>
      </c>
      <c r="J116" s="73"/>
      <c r="K116" s="73"/>
    </row>
    <row r="117" customFormat="false" ht="15" hidden="false" customHeight="false" outlineLevel="0" collapsed="false">
      <c r="A117" s="204"/>
      <c r="B117" s="196" t="n">
        <v>2</v>
      </c>
      <c r="C117" s="208" t="n">
        <v>1.059</v>
      </c>
      <c r="D117" s="208" t="n">
        <v>0.1535</v>
      </c>
      <c r="E117" s="196" t="n">
        <v>9</v>
      </c>
      <c r="F117" s="209" t="s">
        <v>177</v>
      </c>
      <c r="G117" s="210" t="n">
        <v>-7.188</v>
      </c>
      <c r="H117" s="209" t="s">
        <v>176</v>
      </c>
      <c r="I117" s="210" t="n">
        <v>0.3181</v>
      </c>
      <c r="J117" s="73"/>
      <c r="K117" s="73"/>
    </row>
    <row r="118" customFormat="false" ht="15" hidden="false" customHeight="false" outlineLevel="0" collapsed="false">
      <c r="A118" s="204"/>
      <c r="B118" s="196" t="n">
        <v>3</v>
      </c>
      <c r="C118" s="208" t="n">
        <v>2.76</v>
      </c>
      <c r="D118" s="196" t="n">
        <v>0.67</v>
      </c>
      <c r="E118" s="196" t="n">
        <v>2</v>
      </c>
      <c r="F118" s="209" t="s">
        <v>178</v>
      </c>
      <c r="G118" s="210" t="n">
        <v>-10.5</v>
      </c>
      <c r="H118" s="209" t="s">
        <v>176</v>
      </c>
      <c r="I118" s="210" t="n">
        <v>0.0508</v>
      </c>
      <c r="J118" s="73"/>
      <c r="K118" s="73"/>
    </row>
    <row r="119" customFormat="false" ht="15.75" hidden="false" customHeight="false" outlineLevel="0" collapsed="false"/>
    <row r="120" customFormat="false" ht="15.75" hidden="false" customHeight="false" outlineLevel="0" collapsed="false">
      <c r="A120" s="211" t="s">
        <v>6</v>
      </c>
      <c r="B120" s="91" t="s">
        <v>169</v>
      </c>
      <c r="C120" s="91"/>
      <c r="D120" s="91"/>
      <c r="E120" s="91"/>
      <c r="F120" s="91"/>
      <c r="G120" s="91"/>
      <c r="H120" s="91"/>
      <c r="I120" s="91"/>
      <c r="J120" s="91"/>
    </row>
    <row r="121" customFormat="false" ht="15" hidden="false" customHeight="false" outlineLevel="0" collapsed="false">
      <c r="A121" s="211"/>
      <c r="B121" s="212" t="s">
        <v>179</v>
      </c>
      <c r="C121" s="212"/>
      <c r="D121" s="212"/>
      <c r="E121" s="212" t="s">
        <v>180</v>
      </c>
      <c r="F121" s="212"/>
      <c r="G121" s="212"/>
      <c r="H121" s="212" t="s">
        <v>181</v>
      </c>
      <c r="I121" s="212"/>
      <c r="J121" s="212"/>
    </row>
    <row r="122" customFormat="false" ht="15.75" hidden="false" customHeight="false" outlineLevel="0" collapsed="false">
      <c r="A122" s="211"/>
      <c r="B122" s="17" t="s">
        <v>182</v>
      </c>
      <c r="C122" s="18" t="s">
        <v>132</v>
      </c>
      <c r="D122" s="19" t="s">
        <v>133</v>
      </c>
      <c r="E122" s="17" t="s">
        <v>182</v>
      </c>
      <c r="F122" s="18" t="s">
        <v>132</v>
      </c>
      <c r="G122" s="19" t="s">
        <v>133</v>
      </c>
      <c r="H122" s="17" t="s">
        <v>182</v>
      </c>
      <c r="I122" s="18" t="s">
        <v>132</v>
      </c>
      <c r="J122" s="19" t="s">
        <v>133</v>
      </c>
    </row>
    <row r="123" customFormat="false" ht="15" hidden="false" customHeight="false" outlineLevel="0" collapsed="false">
      <c r="A123" s="213" t="s">
        <v>183</v>
      </c>
      <c r="B123" s="214" t="n">
        <v>0.421052631578947</v>
      </c>
      <c r="C123" s="214" t="n">
        <v>0.637240964657449</v>
      </c>
      <c r="D123" s="214" t="n">
        <v>0.231418912824543</v>
      </c>
      <c r="E123" s="214" t="n">
        <v>0.473684210526316</v>
      </c>
      <c r="F123" s="214" t="n">
        <v>0.682921907548868</v>
      </c>
      <c r="G123" s="214" t="n">
        <v>0.273298051611796</v>
      </c>
      <c r="H123" s="214" t="n">
        <v>0.105263157894737</v>
      </c>
      <c r="I123" s="214" t="n">
        <v>0.31394082711109</v>
      </c>
      <c r="J123" s="214" t="n">
        <v>0.0187032374051927</v>
      </c>
    </row>
    <row r="126" customFormat="false" ht="15.75" hidden="false" customHeight="false" outlineLevel="0" collapsed="false">
      <c r="A126" s="109" t="s">
        <v>184</v>
      </c>
      <c r="B126" s="119"/>
      <c r="C126" s="119"/>
      <c r="D126" s="119"/>
      <c r="E126" s="119"/>
      <c r="F126" s="119"/>
      <c r="G126" s="119"/>
      <c r="H126" s="119"/>
    </row>
    <row r="127" customFormat="false" ht="15.75" hidden="false" customHeight="false" outlineLevel="0" collapsed="false">
      <c r="A127" s="215" t="s">
        <v>6</v>
      </c>
      <c r="B127" s="216" t="s">
        <v>185</v>
      </c>
      <c r="C127" s="212" t="s">
        <v>186</v>
      </c>
      <c r="D127" s="212"/>
      <c r="E127" s="212"/>
      <c r="F127" s="217" t="s">
        <v>187</v>
      </c>
      <c r="G127" s="217"/>
      <c r="H127" s="217"/>
      <c r="J127" s="0" t="s">
        <v>188</v>
      </c>
    </row>
    <row r="128" customFormat="false" ht="15.75" hidden="false" customHeight="false" outlineLevel="0" collapsed="false">
      <c r="A128" s="215"/>
      <c r="B128" s="216"/>
      <c r="C128" s="218" t="s">
        <v>182</v>
      </c>
      <c r="D128" s="18" t="s">
        <v>132</v>
      </c>
      <c r="E128" s="19" t="s">
        <v>133</v>
      </c>
      <c r="F128" s="18" t="s">
        <v>182</v>
      </c>
      <c r="G128" s="18" t="s">
        <v>132</v>
      </c>
      <c r="H128" s="19" t="s">
        <v>133</v>
      </c>
      <c r="J128" s="99" t="s">
        <v>83</v>
      </c>
    </row>
    <row r="129" customFormat="false" ht="15" hidden="false" customHeight="false" outlineLevel="0" collapsed="false">
      <c r="A129" s="219" t="s">
        <v>174</v>
      </c>
      <c r="B129" s="220" t="s">
        <v>189</v>
      </c>
      <c r="C129" s="221" t="n">
        <v>6.04651162790698</v>
      </c>
      <c r="D129" s="221" t="n">
        <v>10.0687967238994</v>
      </c>
      <c r="E129" s="221" t="n">
        <v>3.56731180028317</v>
      </c>
      <c r="F129" s="221" t="n">
        <v>93.953488372093</v>
      </c>
      <c r="G129" s="221" t="n">
        <v>96.4326881997168</v>
      </c>
      <c r="H129" s="222" t="n">
        <v>89.9312032761006</v>
      </c>
      <c r="J129" s="223"/>
    </row>
    <row r="130" customFormat="false" ht="15" hidden="false" customHeight="false" outlineLevel="0" collapsed="false">
      <c r="A130" s="219"/>
      <c r="B130" s="224" t="s">
        <v>190</v>
      </c>
      <c r="C130" s="225" t="n">
        <v>46.1538461538462</v>
      </c>
      <c r="D130" s="225" t="n">
        <v>61.4305517294842</v>
      </c>
      <c r="E130" s="225" t="n">
        <v>31.5668856067279</v>
      </c>
      <c r="F130" s="225" t="n">
        <v>53.8461538461539</v>
      </c>
      <c r="G130" s="225" t="n">
        <v>68.4331143932721</v>
      </c>
      <c r="H130" s="226" t="n">
        <v>38.5694482705158</v>
      </c>
      <c r="J130" s="93" t="s">
        <v>191</v>
      </c>
    </row>
    <row r="131" customFormat="false" ht="15.75" hidden="false" customHeight="false" outlineLevel="0" collapsed="false">
      <c r="A131" s="219"/>
      <c r="B131" s="227" t="s">
        <v>192</v>
      </c>
      <c r="C131" s="228" t="n">
        <v>27.0731707317073</v>
      </c>
      <c r="D131" s="228" t="n">
        <v>31.572265235317</v>
      </c>
      <c r="E131" s="228" t="n">
        <v>22.9997100965564</v>
      </c>
      <c r="F131" s="228" t="n">
        <v>72.9268292682927</v>
      </c>
      <c r="G131" s="228" t="n">
        <v>77.0002899034436</v>
      </c>
      <c r="H131" s="229" t="n">
        <v>68.427734764683</v>
      </c>
    </row>
    <row r="132" customFormat="false" ht="15" hidden="false" customHeight="false" outlineLevel="0" collapsed="false">
      <c r="A132" s="219" t="s">
        <v>183</v>
      </c>
      <c r="B132" s="220" t="s">
        <v>189</v>
      </c>
      <c r="C132" s="221" t="n">
        <v>15.3846153846154</v>
      </c>
      <c r="D132" s="221" t="n">
        <v>42.2346310194825</v>
      </c>
      <c r="E132" s="221" t="n">
        <v>2.7335500822974</v>
      </c>
      <c r="F132" s="221" t="n">
        <v>84.6153846153846</v>
      </c>
      <c r="G132" s="221" t="n">
        <v>97.2664499177026</v>
      </c>
      <c r="H132" s="222" t="n">
        <v>57.7653689805175</v>
      </c>
    </row>
    <row r="133" customFormat="false" ht="15" hidden="false" customHeight="false" outlineLevel="0" collapsed="false">
      <c r="A133" s="219"/>
      <c r="B133" s="224" t="s">
        <v>190</v>
      </c>
      <c r="C133" s="225" t="n">
        <v>77.7777777777778</v>
      </c>
      <c r="D133" s="225" t="n">
        <v>90.9990718913983</v>
      </c>
      <c r="E133" s="225" t="n">
        <v>54.7854156837874</v>
      </c>
      <c r="F133" s="225" t="n">
        <v>22.2222222222222</v>
      </c>
      <c r="G133" s="225" t="n">
        <v>45.2145843162126</v>
      </c>
      <c r="H133" s="226" t="n">
        <v>9.00092810860171</v>
      </c>
    </row>
    <row r="134" customFormat="false" ht="15.75" hidden="false" customHeight="false" outlineLevel="0" collapsed="false">
      <c r="A134" s="219"/>
      <c r="B134" s="227" t="s">
        <v>192</v>
      </c>
      <c r="C134" s="228" t="n">
        <v>90.9090909090909</v>
      </c>
      <c r="D134" s="228" t="n">
        <v>96.4077806772684</v>
      </c>
      <c r="E134" s="228" t="n">
        <v>78.8407608334014</v>
      </c>
      <c r="F134" s="228" t="n">
        <v>9.09090909090909</v>
      </c>
      <c r="G134" s="228" t="n">
        <v>21.1592391665986</v>
      </c>
      <c r="H134" s="229" t="n">
        <v>3.59221932273163</v>
      </c>
    </row>
    <row r="137" customFormat="false" ht="15.75" hidden="false" customHeight="false" outlineLevel="0" collapsed="false">
      <c r="A137" s="109" t="s">
        <v>184</v>
      </c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</row>
    <row r="138" customFormat="false" ht="15.75" hidden="false" customHeight="false" outlineLevel="0" collapsed="false">
      <c r="A138" s="230" t="s">
        <v>6</v>
      </c>
      <c r="B138" s="231" t="s">
        <v>160</v>
      </c>
      <c r="C138" s="231"/>
      <c r="D138" s="231"/>
      <c r="E138" s="231"/>
      <c r="G138" s="230" t="s">
        <v>6</v>
      </c>
      <c r="H138" s="231" t="s">
        <v>160</v>
      </c>
      <c r="I138" s="231"/>
      <c r="J138" s="231"/>
      <c r="K138" s="231"/>
    </row>
    <row r="139" customFormat="false" ht="15" hidden="false" customHeight="false" outlineLevel="0" collapsed="false">
      <c r="A139" s="232" t="s">
        <v>193</v>
      </c>
      <c r="B139" s="29" t="s">
        <v>194</v>
      </c>
      <c r="C139" s="94" t="s">
        <v>195</v>
      </c>
      <c r="D139" s="94" t="s">
        <v>182</v>
      </c>
      <c r="E139" s="117" t="s">
        <v>163</v>
      </c>
      <c r="G139" s="232" t="s">
        <v>144</v>
      </c>
      <c r="H139" s="29" t="s">
        <v>194</v>
      </c>
      <c r="I139" s="94" t="s">
        <v>195</v>
      </c>
      <c r="J139" s="94" t="s">
        <v>182</v>
      </c>
      <c r="K139" s="117" t="s">
        <v>163</v>
      </c>
    </row>
    <row r="140" customFormat="false" ht="15" hidden="false" customHeight="false" outlineLevel="0" collapsed="false">
      <c r="A140" s="232"/>
      <c r="B140" s="29" t="s">
        <v>196</v>
      </c>
      <c r="C140" s="94" t="n">
        <v>12</v>
      </c>
      <c r="D140" s="94"/>
      <c r="E140" s="117"/>
      <c r="G140" s="232"/>
      <c r="H140" s="29" t="s">
        <v>196</v>
      </c>
      <c r="I140" s="94" t="n">
        <v>7</v>
      </c>
      <c r="J140" s="94"/>
      <c r="K140" s="117"/>
    </row>
    <row r="141" customFormat="false" ht="15" hidden="false" customHeight="false" outlineLevel="0" collapsed="false">
      <c r="A141" s="232"/>
      <c r="B141" s="29" t="s">
        <v>197</v>
      </c>
      <c r="C141" s="94" t="n">
        <v>1</v>
      </c>
      <c r="D141" s="233" t="n">
        <v>0.083333333</v>
      </c>
      <c r="E141" s="234" t="n">
        <v>0.079785592</v>
      </c>
      <c r="G141" s="232"/>
      <c r="H141" s="29" t="s">
        <v>197</v>
      </c>
      <c r="I141" s="94" t="n">
        <v>1</v>
      </c>
      <c r="J141" s="233" t="n">
        <v>0.142857143</v>
      </c>
      <c r="K141" s="234" t="n">
        <v>0.132260014</v>
      </c>
    </row>
    <row r="142" customFormat="false" ht="15" hidden="false" customHeight="false" outlineLevel="0" collapsed="false">
      <c r="A142" s="232"/>
      <c r="B142" s="29" t="s">
        <v>198</v>
      </c>
      <c r="C142" s="94" t="n">
        <v>3</v>
      </c>
      <c r="D142" s="233" t="n">
        <v>0.25</v>
      </c>
      <c r="E142" s="234" t="n">
        <v>0.125</v>
      </c>
      <c r="G142" s="232"/>
      <c r="H142" s="29" t="s">
        <v>198</v>
      </c>
      <c r="I142" s="94" t="n">
        <v>0</v>
      </c>
      <c r="J142" s="233" t="n">
        <v>0</v>
      </c>
      <c r="K142" s="234" t="n">
        <v>0</v>
      </c>
    </row>
    <row r="143" customFormat="false" ht="15" hidden="false" customHeight="false" outlineLevel="0" collapsed="false">
      <c r="A143" s="232"/>
      <c r="B143" s="29"/>
      <c r="C143" s="94"/>
      <c r="D143" s="233"/>
      <c r="E143" s="234"/>
      <c r="G143" s="232"/>
      <c r="H143" s="29"/>
      <c r="I143" s="94"/>
      <c r="J143" s="233"/>
      <c r="K143" s="234"/>
    </row>
    <row r="144" customFormat="false" ht="15" hidden="false" customHeight="false" outlineLevel="0" collapsed="false">
      <c r="A144" s="232"/>
      <c r="B144" s="29"/>
      <c r="C144" s="94"/>
      <c r="D144" s="233"/>
      <c r="E144" s="234"/>
      <c r="G144" s="232"/>
      <c r="H144" s="29"/>
      <c r="I144" s="94"/>
      <c r="J144" s="233"/>
      <c r="K144" s="234"/>
    </row>
    <row r="145" customFormat="false" ht="15" hidden="false" customHeight="false" outlineLevel="0" collapsed="false">
      <c r="A145" s="232"/>
      <c r="B145" s="29" t="s">
        <v>199</v>
      </c>
      <c r="C145" s="94" t="s">
        <v>195</v>
      </c>
      <c r="D145" s="233" t="s">
        <v>182</v>
      </c>
      <c r="E145" s="234" t="s">
        <v>163</v>
      </c>
      <c r="G145" s="232"/>
      <c r="H145" s="29" t="s">
        <v>199</v>
      </c>
      <c r="I145" s="94" t="s">
        <v>195</v>
      </c>
      <c r="J145" s="233" t="s">
        <v>182</v>
      </c>
      <c r="K145" s="234" t="s">
        <v>163</v>
      </c>
    </row>
    <row r="146" customFormat="false" ht="15" hidden="false" customHeight="false" outlineLevel="0" collapsed="false">
      <c r="A146" s="232"/>
      <c r="B146" s="29" t="s">
        <v>196</v>
      </c>
      <c r="C146" s="94" t="n">
        <v>12</v>
      </c>
      <c r="D146" s="233"/>
      <c r="E146" s="234"/>
      <c r="G146" s="232"/>
      <c r="H146" s="29" t="s">
        <v>196</v>
      </c>
      <c r="I146" s="94" t="n">
        <v>9</v>
      </c>
      <c r="J146" s="233"/>
      <c r="K146" s="234"/>
    </row>
    <row r="147" customFormat="false" ht="15" hidden="false" customHeight="false" outlineLevel="0" collapsed="false">
      <c r="A147" s="232"/>
      <c r="B147" s="29" t="s">
        <v>197</v>
      </c>
      <c r="C147" s="94" t="n">
        <v>0</v>
      </c>
      <c r="D147" s="233" t="n">
        <v>0</v>
      </c>
      <c r="E147" s="234" t="n">
        <v>0</v>
      </c>
      <c r="G147" s="232"/>
      <c r="H147" s="29" t="s">
        <v>197</v>
      </c>
      <c r="I147" s="94" t="n">
        <v>1</v>
      </c>
      <c r="J147" s="233" t="n">
        <v>0.111111111</v>
      </c>
      <c r="K147" s="234" t="n">
        <v>0.10475656</v>
      </c>
    </row>
    <row r="148" customFormat="false" ht="15" hidden="false" customHeight="false" outlineLevel="0" collapsed="false">
      <c r="A148" s="232"/>
      <c r="B148" s="29" t="s">
        <v>198</v>
      </c>
      <c r="C148" s="94" t="n">
        <v>3</v>
      </c>
      <c r="D148" s="233" t="n">
        <v>0.25</v>
      </c>
      <c r="E148" s="234" t="n">
        <v>0.125</v>
      </c>
      <c r="G148" s="232"/>
      <c r="H148" s="29" t="s">
        <v>198</v>
      </c>
      <c r="I148" s="94" t="n">
        <v>0</v>
      </c>
      <c r="J148" s="233" t="n">
        <v>0</v>
      </c>
      <c r="K148" s="234" t="n">
        <v>0</v>
      </c>
    </row>
    <row r="149" customFormat="false" ht="15" hidden="false" customHeight="false" outlineLevel="0" collapsed="false">
      <c r="A149" s="232"/>
      <c r="B149" s="29"/>
      <c r="C149" s="94"/>
      <c r="D149" s="233"/>
      <c r="E149" s="234"/>
      <c r="G149" s="232"/>
      <c r="H149" s="29"/>
      <c r="I149" s="94"/>
      <c r="J149" s="233"/>
      <c r="K149" s="234"/>
    </row>
    <row r="150" customFormat="false" ht="15" hidden="false" customHeight="false" outlineLevel="0" collapsed="false">
      <c r="A150" s="232"/>
      <c r="B150" s="29"/>
      <c r="C150" s="94"/>
      <c r="D150" s="233"/>
      <c r="E150" s="234"/>
      <c r="G150" s="232"/>
      <c r="H150" s="29"/>
      <c r="I150" s="94"/>
      <c r="J150" s="233"/>
      <c r="K150" s="234"/>
    </row>
    <row r="151" customFormat="false" ht="15" hidden="false" customHeight="false" outlineLevel="0" collapsed="false">
      <c r="A151" s="232"/>
      <c r="B151" s="29" t="s">
        <v>200</v>
      </c>
      <c r="C151" s="94" t="s">
        <v>195</v>
      </c>
      <c r="D151" s="233" t="s">
        <v>182</v>
      </c>
      <c r="E151" s="234" t="s">
        <v>163</v>
      </c>
      <c r="G151" s="232"/>
      <c r="H151" s="29" t="s">
        <v>200</v>
      </c>
      <c r="I151" s="94" t="s">
        <v>195</v>
      </c>
      <c r="J151" s="233" t="s">
        <v>182</v>
      </c>
      <c r="K151" s="234" t="s">
        <v>163</v>
      </c>
    </row>
    <row r="152" customFormat="false" ht="15" hidden="false" customHeight="false" outlineLevel="0" collapsed="false">
      <c r="A152" s="232"/>
      <c r="B152" s="29" t="s">
        <v>196</v>
      </c>
      <c r="C152" s="94" t="n">
        <v>7</v>
      </c>
      <c r="D152" s="233"/>
      <c r="E152" s="234"/>
      <c r="G152" s="232"/>
      <c r="H152" s="29" t="s">
        <v>196</v>
      </c>
      <c r="I152" s="94" t="n">
        <v>8</v>
      </c>
      <c r="J152" s="233"/>
      <c r="K152" s="234"/>
    </row>
    <row r="153" customFormat="false" ht="15" hidden="false" customHeight="false" outlineLevel="0" collapsed="false">
      <c r="A153" s="232"/>
      <c r="B153" s="29" t="s">
        <v>197</v>
      </c>
      <c r="C153" s="94" t="n">
        <v>0</v>
      </c>
      <c r="D153" s="233" t="n">
        <v>0</v>
      </c>
      <c r="E153" s="234" t="n">
        <v>0</v>
      </c>
      <c r="G153" s="232"/>
      <c r="H153" s="29" t="s">
        <v>197</v>
      </c>
      <c r="I153" s="94" t="n">
        <v>1</v>
      </c>
      <c r="J153" s="233" t="n">
        <v>0.125</v>
      </c>
      <c r="K153" s="234" t="n">
        <v>0.116926793</v>
      </c>
    </row>
    <row r="154" customFormat="false" ht="15.75" hidden="false" customHeight="false" outlineLevel="0" collapsed="false">
      <c r="A154" s="232"/>
      <c r="B154" s="29" t="s">
        <v>198</v>
      </c>
      <c r="C154" s="94" t="n">
        <v>1</v>
      </c>
      <c r="D154" s="233" t="n">
        <v>0.142857143</v>
      </c>
      <c r="E154" s="234" t="n">
        <v>0.132260014</v>
      </c>
      <c r="G154" s="232"/>
      <c r="H154" s="235" t="s">
        <v>198</v>
      </c>
      <c r="I154" s="235" t="n">
        <v>2</v>
      </c>
      <c r="J154" s="236" t="n">
        <v>0.25</v>
      </c>
      <c r="K154" s="237" t="n">
        <v>0.153093109</v>
      </c>
    </row>
    <row r="155" customFormat="false" ht="15" hidden="false" customHeight="false" outlineLevel="0" collapsed="false">
      <c r="A155" s="232"/>
      <c r="B155" s="29"/>
      <c r="C155" s="94"/>
      <c r="D155" s="233"/>
      <c r="E155" s="234"/>
      <c r="G155" s="232"/>
      <c r="H155" s="238" t="s">
        <v>201</v>
      </c>
      <c r="I155" s="238"/>
      <c r="J155" s="238"/>
      <c r="K155" s="238"/>
    </row>
    <row r="156" customFormat="false" ht="15" hidden="false" customHeight="false" outlineLevel="0" collapsed="false">
      <c r="A156" s="232"/>
      <c r="B156" s="29"/>
      <c r="C156" s="94"/>
      <c r="D156" s="233"/>
      <c r="E156" s="234"/>
      <c r="G156" s="232"/>
      <c r="H156" s="29" t="s">
        <v>202</v>
      </c>
      <c r="I156" s="94" t="s">
        <v>195</v>
      </c>
      <c r="J156" s="94" t="s">
        <v>182</v>
      </c>
      <c r="K156" s="117" t="s">
        <v>163</v>
      </c>
    </row>
    <row r="157" customFormat="false" ht="15" hidden="false" customHeight="false" outlineLevel="0" collapsed="false">
      <c r="A157" s="232"/>
      <c r="B157" s="29" t="s">
        <v>203</v>
      </c>
      <c r="C157" s="94" t="s">
        <v>195</v>
      </c>
      <c r="D157" s="233" t="s">
        <v>182</v>
      </c>
      <c r="E157" s="234" t="s">
        <v>163</v>
      </c>
      <c r="G157" s="232"/>
      <c r="H157" s="29" t="s">
        <v>196</v>
      </c>
      <c r="I157" s="94" t="n">
        <v>11</v>
      </c>
      <c r="J157" s="94"/>
      <c r="K157" s="117"/>
    </row>
    <row r="158" customFormat="false" ht="15" hidden="false" customHeight="false" outlineLevel="0" collapsed="false">
      <c r="A158" s="232"/>
      <c r="B158" s="29" t="s">
        <v>196</v>
      </c>
      <c r="C158" s="94" t="n">
        <v>6</v>
      </c>
      <c r="D158" s="233"/>
      <c r="E158" s="234"/>
      <c r="G158" s="232"/>
      <c r="H158" s="29" t="s">
        <v>197</v>
      </c>
      <c r="I158" s="94" t="n">
        <v>1</v>
      </c>
      <c r="J158" s="233" t="n">
        <v>0.090909091</v>
      </c>
      <c r="K158" s="234" t="n">
        <v>0.086678417</v>
      </c>
    </row>
    <row r="159" customFormat="false" ht="15" hidden="false" customHeight="false" outlineLevel="0" collapsed="false">
      <c r="A159" s="232"/>
      <c r="B159" s="29" t="s">
        <v>197</v>
      </c>
      <c r="C159" s="94" t="n">
        <v>0</v>
      </c>
      <c r="D159" s="233" t="n">
        <v>0</v>
      </c>
      <c r="E159" s="234" t="n">
        <v>0</v>
      </c>
      <c r="G159" s="232"/>
      <c r="H159" s="29" t="s">
        <v>198</v>
      </c>
      <c r="I159" s="94" t="n">
        <v>2</v>
      </c>
      <c r="J159" s="233" t="n">
        <v>0.181818182</v>
      </c>
      <c r="K159" s="234" t="n">
        <v>0.1162913</v>
      </c>
    </row>
    <row r="160" customFormat="false" ht="15.75" hidden="false" customHeight="false" outlineLevel="0" collapsed="false">
      <c r="A160" s="232"/>
      <c r="B160" s="235" t="s">
        <v>198</v>
      </c>
      <c r="C160" s="235" t="n">
        <v>1</v>
      </c>
      <c r="D160" s="236" t="n">
        <v>0.166666667</v>
      </c>
      <c r="E160" s="237" t="n">
        <v>0.152145155</v>
      </c>
      <c r="G160" s="232"/>
      <c r="H160" s="29"/>
      <c r="I160" s="94"/>
      <c r="J160" s="233"/>
      <c r="K160" s="234"/>
    </row>
    <row r="161" customFormat="false" ht="15" hidden="false" customHeight="false" outlineLevel="0" collapsed="false">
      <c r="A161" s="232"/>
      <c r="B161" s="238" t="s">
        <v>201</v>
      </c>
      <c r="C161" s="238"/>
      <c r="D161" s="238"/>
      <c r="E161" s="238"/>
      <c r="G161" s="232"/>
      <c r="H161" s="29"/>
      <c r="I161" s="94"/>
      <c r="J161" s="233"/>
      <c r="K161" s="234"/>
    </row>
    <row r="162" customFormat="false" ht="15" hidden="false" customHeight="false" outlineLevel="0" collapsed="false">
      <c r="A162" s="232"/>
      <c r="B162" s="29" t="s">
        <v>202</v>
      </c>
      <c r="C162" s="94" t="s">
        <v>195</v>
      </c>
      <c r="D162" s="94" t="s">
        <v>182</v>
      </c>
      <c r="E162" s="117" t="s">
        <v>163</v>
      </c>
      <c r="G162" s="232"/>
      <c r="H162" s="29" t="s">
        <v>204</v>
      </c>
      <c r="I162" s="94" t="s">
        <v>195</v>
      </c>
      <c r="J162" s="233" t="s">
        <v>182</v>
      </c>
      <c r="K162" s="234" t="s">
        <v>163</v>
      </c>
    </row>
    <row r="163" customFormat="false" ht="15" hidden="false" customHeight="false" outlineLevel="0" collapsed="false">
      <c r="A163" s="232"/>
      <c r="B163" s="29" t="s">
        <v>196</v>
      </c>
      <c r="C163" s="94" t="n">
        <v>6</v>
      </c>
      <c r="D163" s="94"/>
      <c r="E163" s="117"/>
      <c r="G163" s="232"/>
      <c r="H163" s="29" t="s">
        <v>196</v>
      </c>
      <c r="I163" s="94" t="n">
        <v>10</v>
      </c>
      <c r="J163" s="233"/>
      <c r="K163" s="234"/>
    </row>
    <row r="164" customFormat="false" ht="15" hidden="false" customHeight="false" outlineLevel="0" collapsed="false">
      <c r="A164" s="232"/>
      <c r="B164" s="29" t="s">
        <v>197</v>
      </c>
      <c r="C164" s="94" t="n">
        <v>0</v>
      </c>
      <c r="D164" s="233" t="n">
        <v>0</v>
      </c>
      <c r="E164" s="234" t="n">
        <v>0</v>
      </c>
      <c r="G164" s="232"/>
      <c r="H164" s="29" t="s">
        <v>197</v>
      </c>
      <c r="I164" s="94" t="n">
        <v>1</v>
      </c>
      <c r="J164" s="233" t="n">
        <v>0.1</v>
      </c>
      <c r="K164" s="234" t="n">
        <v>0.09486833</v>
      </c>
    </row>
    <row r="165" customFormat="false" ht="15" hidden="false" customHeight="false" outlineLevel="0" collapsed="false">
      <c r="A165" s="232"/>
      <c r="B165" s="29" t="s">
        <v>198</v>
      </c>
      <c r="C165" s="94" t="n">
        <v>1</v>
      </c>
      <c r="D165" s="233" t="n">
        <v>0.166666667</v>
      </c>
      <c r="E165" s="234" t="n">
        <v>0.152145155</v>
      </c>
      <c r="G165" s="232"/>
      <c r="H165" s="29" t="s">
        <v>198</v>
      </c>
      <c r="I165" s="94" t="n">
        <v>4</v>
      </c>
      <c r="J165" s="233" t="n">
        <v>0.4</v>
      </c>
      <c r="K165" s="234" t="n">
        <v>0.154919334</v>
      </c>
    </row>
    <row r="166" customFormat="false" ht="15" hidden="false" customHeight="false" outlineLevel="0" collapsed="false">
      <c r="A166" s="232"/>
      <c r="B166" s="29"/>
      <c r="C166" s="94"/>
      <c r="D166" s="233"/>
      <c r="E166" s="234"/>
      <c r="G166" s="232"/>
      <c r="H166" s="29"/>
      <c r="I166" s="94"/>
      <c r="J166" s="233"/>
      <c r="K166" s="234"/>
    </row>
    <row r="167" customFormat="false" ht="15" hidden="false" customHeight="false" outlineLevel="0" collapsed="false">
      <c r="A167" s="232"/>
      <c r="B167" s="29"/>
      <c r="C167" s="94"/>
      <c r="D167" s="233"/>
      <c r="E167" s="234"/>
      <c r="G167" s="232"/>
      <c r="H167" s="29"/>
      <c r="I167" s="94"/>
      <c r="J167" s="233"/>
      <c r="K167" s="234"/>
    </row>
    <row r="168" customFormat="false" ht="15" hidden="false" customHeight="false" outlineLevel="0" collapsed="false">
      <c r="A168" s="232"/>
      <c r="B168" s="29" t="s">
        <v>204</v>
      </c>
      <c r="C168" s="94" t="s">
        <v>195</v>
      </c>
      <c r="D168" s="233" t="s">
        <v>182</v>
      </c>
      <c r="E168" s="234" t="s">
        <v>163</v>
      </c>
      <c r="G168" s="232"/>
      <c r="H168" s="29" t="s">
        <v>205</v>
      </c>
      <c r="I168" s="94" t="s">
        <v>195</v>
      </c>
      <c r="J168" s="233" t="s">
        <v>182</v>
      </c>
      <c r="K168" s="234" t="s">
        <v>163</v>
      </c>
    </row>
    <row r="169" customFormat="false" ht="15" hidden="false" customHeight="false" outlineLevel="0" collapsed="false">
      <c r="A169" s="232"/>
      <c r="B169" s="29" t="s">
        <v>196</v>
      </c>
      <c r="C169" s="94" t="n">
        <v>9</v>
      </c>
      <c r="D169" s="233"/>
      <c r="E169" s="234"/>
      <c r="G169" s="232"/>
      <c r="H169" s="29" t="s">
        <v>196</v>
      </c>
      <c r="I169" s="94" t="n">
        <v>10</v>
      </c>
      <c r="J169" s="233"/>
      <c r="K169" s="234"/>
    </row>
    <row r="170" customFormat="false" ht="15" hidden="false" customHeight="false" outlineLevel="0" collapsed="false">
      <c r="A170" s="232"/>
      <c r="B170" s="29" t="s">
        <v>197</v>
      </c>
      <c r="C170" s="94" t="n">
        <v>0</v>
      </c>
      <c r="D170" s="233" t="n">
        <v>0</v>
      </c>
      <c r="E170" s="234" t="n">
        <v>0</v>
      </c>
      <c r="G170" s="232"/>
      <c r="H170" s="29" t="s">
        <v>197</v>
      </c>
      <c r="I170" s="94" t="n">
        <v>1</v>
      </c>
      <c r="J170" s="233" t="n">
        <v>0.1</v>
      </c>
      <c r="K170" s="234" t="n">
        <v>0.09486833</v>
      </c>
    </row>
    <row r="171" customFormat="false" ht="15.75" hidden="false" customHeight="false" outlineLevel="0" collapsed="false">
      <c r="A171" s="232"/>
      <c r="B171" s="29" t="s">
        <v>198</v>
      </c>
      <c r="C171" s="94" t="n">
        <v>0</v>
      </c>
      <c r="D171" s="233" t="n">
        <v>0</v>
      </c>
      <c r="E171" s="234" t="n">
        <v>0</v>
      </c>
      <c r="G171" s="232"/>
      <c r="H171" s="235" t="s">
        <v>198</v>
      </c>
      <c r="I171" s="235" t="n">
        <v>1</v>
      </c>
      <c r="J171" s="236" t="n">
        <v>0.1</v>
      </c>
      <c r="K171" s="237" t="n">
        <v>0.09486833</v>
      </c>
    </row>
    <row r="172" customFormat="false" ht="15" hidden="false" customHeight="false" outlineLevel="0" collapsed="false">
      <c r="A172" s="232"/>
      <c r="B172" s="29"/>
      <c r="C172" s="94"/>
      <c r="D172" s="233"/>
      <c r="E172" s="234"/>
      <c r="G172" s="232"/>
      <c r="H172" s="238" t="s">
        <v>162</v>
      </c>
      <c r="I172" s="238"/>
      <c r="J172" s="238"/>
      <c r="K172" s="238"/>
    </row>
    <row r="173" customFormat="false" ht="15" hidden="false" customHeight="false" outlineLevel="0" collapsed="false">
      <c r="A173" s="232"/>
      <c r="B173" s="29"/>
      <c r="C173" s="94"/>
      <c r="D173" s="233"/>
      <c r="E173" s="234"/>
      <c r="G173" s="232"/>
      <c r="H173" s="29" t="s">
        <v>206</v>
      </c>
      <c r="I173" s="94" t="s">
        <v>195</v>
      </c>
      <c r="J173" s="94" t="s">
        <v>182</v>
      </c>
      <c r="K173" s="117" t="s">
        <v>163</v>
      </c>
    </row>
    <row r="174" customFormat="false" ht="15" hidden="false" customHeight="false" outlineLevel="0" collapsed="false">
      <c r="A174" s="232"/>
      <c r="B174" s="29" t="s">
        <v>205</v>
      </c>
      <c r="C174" s="94" t="s">
        <v>195</v>
      </c>
      <c r="D174" s="233" t="s">
        <v>182</v>
      </c>
      <c r="E174" s="234" t="s">
        <v>163</v>
      </c>
      <c r="G174" s="232"/>
      <c r="H174" s="29" t="s">
        <v>196</v>
      </c>
      <c r="I174" s="94" t="n">
        <v>8</v>
      </c>
      <c r="J174" s="94"/>
      <c r="K174" s="117"/>
    </row>
    <row r="175" customFormat="false" ht="15" hidden="false" customHeight="false" outlineLevel="0" collapsed="false">
      <c r="A175" s="232"/>
      <c r="B175" s="29" t="s">
        <v>196</v>
      </c>
      <c r="C175" s="94" t="n">
        <v>7</v>
      </c>
      <c r="D175" s="233"/>
      <c r="E175" s="234"/>
      <c r="G175" s="232"/>
      <c r="H175" s="29" t="s">
        <v>197</v>
      </c>
      <c r="I175" s="94" t="n">
        <v>2</v>
      </c>
      <c r="J175" s="233" t="n">
        <v>0.25</v>
      </c>
      <c r="K175" s="234" t="n">
        <v>0.153093109</v>
      </c>
    </row>
    <row r="176" customFormat="false" ht="15" hidden="false" customHeight="false" outlineLevel="0" collapsed="false">
      <c r="A176" s="232"/>
      <c r="B176" s="29" t="s">
        <v>197</v>
      </c>
      <c r="C176" s="94" t="n">
        <v>0</v>
      </c>
      <c r="D176" s="233" t="n">
        <v>0</v>
      </c>
      <c r="E176" s="234" t="n">
        <v>0</v>
      </c>
      <c r="G176" s="232"/>
      <c r="H176" s="29" t="s">
        <v>198</v>
      </c>
      <c r="I176" s="94" t="n">
        <v>3</v>
      </c>
      <c r="J176" s="233" t="n">
        <v>0.375</v>
      </c>
      <c r="K176" s="234" t="n">
        <v>0.171163299</v>
      </c>
    </row>
    <row r="177" customFormat="false" ht="15" hidden="false" customHeight="false" outlineLevel="0" collapsed="false">
      <c r="A177" s="232"/>
      <c r="B177" s="29" t="s">
        <v>198</v>
      </c>
      <c r="C177" s="94" t="n">
        <v>3</v>
      </c>
      <c r="D177" s="233" t="n">
        <v>0.428571429</v>
      </c>
      <c r="E177" s="234" t="n">
        <v>0.187043906</v>
      </c>
      <c r="G177" s="232"/>
      <c r="H177" s="29"/>
      <c r="I177" s="94"/>
      <c r="J177" s="233"/>
      <c r="K177" s="234"/>
    </row>
    <row r="178" customFormat="false" ht="15" hidden="false" customHeight="false" outlineLevel="0" collapsed="false">
      <c r="A178" s="232"/>
      <c r="B178" s="29"/>
      <c r="C178" s="94"/>
      <c r="D178" s="233"/>
      <c r="E178" s="234"/>
      <c r="G178" s="232"/>
      <c r="H178" s="29"/>
      <c r="I178" s="94"/>
      <c r="J178" s="233"/>
      <c r="K178" s="234"/>
    </row>
    <row r="179" customFormat="false" ht="15" hidden="false" customHeight="false" outlineLevel="0" collapsed="false">
      <c r="A179" s="232"/>
      <c r="B179" s="29"/>
      <c r="C179" s="94"/>
      <c r="D179" s="233"/>
      <c r="E179" s="234"/>
      <c r="G179" s="232"/>
      <c r="H179" s="29" t="s">
        <v>207</v>
      </c>
      <c r="I179" s="94" t="s">
        <v>195</v>
      </c>
      <c r="J179" s="233" t="s">
        <v>182</v>
      </c>
      <c r="K179" s="234" t="s">
        <v>163</v>
      </c>
    </row>
    <row r="180" customFormat="false" ht="15" hidden="false" customHeight="false" outlineLevel="0" collapsed="false">
      <c r="A180" s="232"/>
      <c r="B180" s="29" t="s">
        <v>208</v>
      </c>
      <c r="C180" s="94" t="s">
        <v>195</v>
      </c>
      <c r="D180" s="233" t="s">
        <v>182</v>
      </c>
      <c r="E180" s="234" t="s">
        <v>163</v>
      </c>
      <c r="G180" s="232"/>
      <c r="H180" s="29" t="s">
        <v>196</v>
      </c>
      <c r="I180" s="94" t="n">
        <v>8</v>
      </c>
      <c r="J180" s="233"/>
      <c r="K180" s="234"/>
    </row>
    <row r="181" customFormat="false" ht="15" hidden="false" customHeight="false" outlineLevel="0" collapsed="false">
      <c r="A181" s="232"/>
      <c r="B181" s="29" t="s">
        <v>196</v>
      </c>
      <c r="C181" s="94" t="n">
        <v>6</v>
      </c>
      <c r="D181" s="233"/>
      <c r="E181" s="234"/>
      <c r="G181" s="232"/>
      <c r="H181" s="29" t="s">
        <v>197</v>
      </c>
      <c r="I181" s="94" t="n">
        <v>0</v>
      </c>
      <c r="J181" s="233" t="n">
        <v>0</v>
      </c>
      <c r="K181" s="234" t="n">
        <v>0</v>
      </c>
    </row>
    <row r="182" customFormat="false" ht="15" hidden="false" customHeight="false" outlineLevel="0" collapsed="false">
      <c r="A182" s="232"/>
      <c r="B182" s="29" t="s">
        <v>197</v>
      </c>
      <c r="C182" s="94" t="n">
        <v>1</v>
      </c>
      <c r="D182" s="233" t="n">
        <v>0.166666667</v>
      </c>
      <c r="E182" s="234" t="n">
        <v>0.152145155</v>
      </c>
      <c r="G182" s="232"/>
      <c r="H182" s="29" t="s">
        <v>198</v>
      </c>
      <c r="I182" s="94" t="n">
        <v>2</v>
      </c>
      <c r="J182" s="233" t="n">
        <v>0.25</v>
      </c>
      <c r="K182" s="234" t="n">
        <v>0.153093109</v>
      </c>
    </row>
    <row r="183" customFormat="false" ht="15.75" hidden="false" customHeight="false" outlineLevel="0" collapsed="false">
      <c r="A183" s="232"/>
      <c r="B183" s="235" t="s">
        <v>198</v>
      </c>
      <c r="C183" s="235" t="n">
        <v>1</v>
      </c>
      <c r="D183" s="236" t="n">
        <v>0.166666667</v>
      </c>
      <c r="E183" s="237" t="n">
        <v>0.152145155</v>
      </c>
      <c r="G183" s="232"/>
      <c r="H183" s="29"/>
      <c r="I183" s="94"/>
      <c r="J183" s="233"/>
      <c r="K183" s="234"/>
    </row>
    <row r="184" customFormat="false" ht="15" hidden="false" customHeight="false" outlineLevel="0" collapsed="false">
      <c r="A184" s="232"/>
      <c r="B184" s="238" t="s">
        <v>162</v>
      </c>
      <c r="C184" s="238"/>
      <c r="D184" s="238"/>
      <c r="E184" s="238"/>
      <c r="G184" s="232"/>
      <c r="H184" s="29"/>
      <c r="I184" s="94"/>
      <c r="J184" s="233"/>
      <c r="K184" s="234"/>
    </row>
    <row r="185" customFormat="false" ht="15" hidden="false" customHeight="false" outlineLevel="0" collapsed="false">
      <c r="A185" s="232"/>
      <c r="B185" s="29" t="s">
        <v>209</v>
      </c>
      <c r="C185" s="94" t="s">
        <v>195</v>
      </c>
      <c r="D185" s="94" t="s">
        <v>182</v>
      </c>
      <c r="E185" s="117" t="s">
        <v>163</v>
      </c>
      <c r="G185" s="232"/>
      <c r="H185" s="29" t="s">
        <v>210</v>
      </c>
      <c r="I185" s="94" t="s">
        <v>195</v>
      </c>
      <c r="J185" s="233" t="s">
        <v>182</v>
      </c>
      <c r="K185" s="234" t="s">
        <v>163</v>
      </c>
    </row>
    <row r="186" customFormat="false" ht="15" hidden="false" customHeight="false" outlineLevel="0" collapsed="false">
      <c r="A186" s="232"/>
      <c r="B186" s="29" t="s">
        <v>196</v>
      </c>
      <c r="C186" s="94" t="n">
        <v>6</v>
      </c>
      <c r="D186" s="94"/>
      <c r="E186" s="117"/>
      <c r="G186" s="232"/>
      <c r="H186" s="29" t="s">
        <v>196</v>
      </c>
      <c r="I186" s="94" t="n">
        <v>7</v>
      </c>
      <c r="J186" s="233"/>
      <c r="K186" s="234"/>
    </row>
    <row r="187" customFormat="false" ht="15" hidden="false" customHeight="false" outlineLevel="0" collapsed="false">
      <c r="A187" s="232"/>
      <c r="B187" s="29" t="s">
        <v>197</v>
      </c>
      <c r="C187" s="94" t="n">
        <v>0</v>
      </c>
      <c r="D187" s="233" t="n">
        <v>0</v>
      </c>
      <c r="E187" s="234" t="n">
        <v>0</v>
      </c>
      <c r="G187" s="232"/>
      <c r="H187" s="29" t="s">
        <v>197</v>
      </c>
      <c r="I187" s="94" t="n">
        <v>0</v>
      </c>
      <c r="J187" s="233" t="n">
        <v>0</v>
      </c>
      <c r="K187" s="234" t="n">
        <v>0</v>
      </c>
    </row>
    <row r="188" customFormat="false" ht="15.75" hidden="false" customHeight="false" outlineLevel="0" collapsed="false">
      <c r="A188" s="232"/>
      <c r="B188" s="29" t="s">
        <v>198</v>
      </c>
      <c r="C188" s="94" t="n">
        <v>4</v>
      </c>
      <c r="D188" s="233" t="n">
        <v>0.666666667</v>
      </c>
      <c r="E188" s="234" t="n">
        <v>0.19245009</v>
      </c>
      <c r="G188" s="232"/>
      <c r="H188" s="235" t="s">
        <v>198</v>
      </c>
      <c r="I188" s="235" t="n">
        <v>2</v>
      </c>
      <c r="J188" s="236" t="n">
        <v>0.285714286</v>
      </c>
      <c r="K188" s="237" t="n">
        <v>0.170746944</v>
      </c>
    </row>
    <row r="189" customFormat="false" ht="15" hidden="false" customHeight="false" outlineLevel="0" collapsed="false">
      <c r="A189" s="232"/>
      <c r="B189" s="29"/>
      <c r="C189" s="94"/>
      <c r="D189" s="233"/>
      <c r="E189" s="234"/>
    </row>
    <row r="190" customFormat="false" ht="15" hidden="false" customHeight="false" outlineLevel="0" collapsed="false">
      <c r="A190" s="232"/>
      <c r="B190" s="29"/>
      <c r="C190" s="94"/>
      <c r="D190" s="233"/>
      <c r="E190" s="234"/>
    </row>
    <row r="191" customFormat="false" ht="15" hidden="false" customHeight="false" outlineLevel="0" collapsed="false">
      <c r="A191" s="232"/>
      <c r="B191" s="29" t="s">
        <v>211</v>
      </c>
      <c r="C191" s="94" t="s">
        <v>195</v>
      </c>
      <c r="D191" s="233" t="s">
        <v>182</v>
      </c>
      <c r="E191" s="234" t="s">
        <v>163</v>
      </c>
    </row>
    <row r="192" customFormat="false" ht="15" hidden="false" customHeight="false" outlineLevel="0" collapsed="false">
      <c r="A192" s="232"/>
      <c r="B192" s="29" t="s">
        <v>196</v>
      </c>
      <c r="C192" s="94" t="n">
        <v>7</v>
      </c>
      <c r="D192" s="233"/>
      <c r="E192" s="234"/>
    </row>
    <row r="193" customFormat="false" ht="15" hidden="false" customHeight="false" outlineLevel="0" collapsed="false">
      <c r="A193" s="232"/>
      <c r="B193" s="29" t="s">
        <v>197</v>
      </c>
      <c r="C193" s="94" t="n">
        <v>2</v>
      </c>
      <c r="D193" s="233" t="n">
        <v>0.285714286</v>
      </c>
      <c r="E193" s="234" t="n">
        <v>0.170746944</v>
      </c>
    </row>
    <row r="194" customFormat="false" ht="15" hidden="false" customHeight="false" outlineLevel="0" collapsed="false">
      <c r="A194" s="232"/>
      <c r="B194" s="29" t="s">
        <v>198</v>
      </c>
      <c r="C194" s="94" t="n">
        <v>4</v>
      </c>
      <c r="D194" s="233" t="n">
        <v>0.571428571</v>
      </c>
      <c r="E194" s="234" t="n">
        <v>0.187043906</v>
      </c>
    </row>
    <row r="195" customFormat="false" ht="15" hidden="false" customHeight="false" outlineLevel="0" collapsed="false">
      <c r="A195" s="232"/>
      <c r="B195" s="29"/>
      <c r="C195" s="94"/>
      <c r="D195" s="233"/>
      <c r="E195" s="234"/>
    </row>
    <row r="196" customFormat="false" ht="15" hidden="false" customHeight="false" outlineLevel="0" collapsed="false">
      <c r="A196" s="232"/>
      <c r="B196" s="29"/>
      <c r="C196" s="94"/>
      <c r="D196" s="233"/>
      <c r="E196" s="234"/>
    </row>
    <row r="197" customFormat="false" ht="15" hidden="false" customHeight="false" outlineLevel="0" collapsed="false">
      <c r="A197" s="232"/>
      <c r="B197" s="29" t="s">
        <v>212</v>
      </c>
      <c r="C197" s="94" t="s">
        <v>195</v>
      </c>
      <c r="D197" s="233" t="s">
        <v>182</v>
      </c>
      <c r="E197" s="234" t="s">
        <v>163</v>
      </c>
    </row>
    <row r="198" customFormat="false" ht="15" hidden="false" customHeight="false" outlineLevel="0" collapsed="false">
      <c r="A198" s="232"/>
      <c r="B198" s="29" t="s">
        <v>196</v>
      </c>
      <c r="C198" s="94" t="n">
        <v>6</v>
      </c>
      <c r="D198" s="233"/>
      <c r="E198" s="234"/>
    </row>
    <row r="199" customFormat="false" ht="15" hidden="false" customHeight="false" outlineLevel="0" collapsed="false">
      <c r="A199" s="232"/>
      <c r="B199" s="29" t="s">
        <v>197</v>
      </c>
      <c r="C199" s="94" t="n">
        <v>1</v>
      </c>
      <c r="D199" s="233" t="n">
        <v>0.166666667</v>
      </c>
      <c r="E199" s="234" t="n">
        <v>0.152145155</v>
      </c>
    </row>
    <row r="200" customFormat="false" ht="15" hidden="false" customHeight="false" outlineLevel="0" collapsed="false">
      <c r="A200" s="232"/>
      <c r="B200" s="29" t="s">
        <v>198</v>
      </c>
      <c r="C200" s="94" t="n">
        <v>1</v>
      </c>
      <c r="D200" s="233" t="n">
        <v>0.166666667</v>
      </c>
      <c r="E200" s="234" t="n">
        <v>0.152145155</v>
      </c>
    </row>
    <row r="201" customFormat="false" ht="15" hidden="false" customHeight="false" outlineLevel="0" collapsed="false">
      <c r="A201" s="232"/>
      <c r="B201" s="29"/>
      <c r="C201" s="94"/>
      <c r="D201" s="233"/>
      <c r="E201" s="234"/>
    </row>
    <row r="202" customFormat="false" ht="15" hidden="false" customHeight="false" outlineLevel="0" collapsed="false">
      <c r="A202" s="232"/>
      <c r="B202" s="29"/>
      <c r="C202" s="94"/>
      <c r="D202" s="233"/>
      <c r="E202" s="234"/>
    </row>
    <row r="203" customFormat="false" ht="15" hidden="false" customHeight="false" outlineLevel="0" collapsed="false">
      <c r="A203" s="232"/>
      <c r="B203" s="29" t="s">
        <v>213</v>
      </c>
      <c r="C203" s="94" t="s">
        <v>195</v>
      </c>
      <c r="D203" s="233" t="s">
        <v>182</v>
      </c>
      <c r="E203" s="234" t="s">
        <v>163</v>
      </c>
    </row>
    <row r="204" customFormat="false" ht="15" hidden="false" customHeight="false" outlineLevel="0" collapsed="false">
      <c r="A204" s="232"/>
      <c r="B204" s="29" t="s">
        <v>196</v>
      </c>
      <c r="C204" s="94" t="n">
        <v>5</v>
      </c>
      <c r="D204" s="233"/>
      <c r="E204" s="234"/>
    </row>
    <row r="205" customFormat="false" ht="15" hidden="false" customHeight="false" outlineLevel="0" collapsed="false">
      <c r="A205" s="232"/>
      <c r="B205" s="29" t="s">
        <v>197</v>
      </c>
      <c r="C205" s="94" t="n">
        <v>0</v>
      </c>
      <c r="D205" s="233" t="n">
        <v>0</v>
      </c>
      <c r="E205" s="234" t="n">
        <v>0</v>
      </c>
    </row>
    <row r="206" customFormat="false" ht="15.75" hidden="false" customHeight="false" outlineLevel="0" collapsed="false">
      <c r="A206" s="232"/>
      <c r="B206" s="235" t="s">
        <v>198</v>
      </c>
      <c r="C206" s="235" t="n">
        <v>3</v>
      </c>
      <c r="D206" s="236" t="n">
        <v>0.6</v>
      </c>
      <c r="E206" s="237" t="n">
        <v>0.219089023</v>
      </c>
    </row>
    <row r="208" s="240" customFormat="true" ht="13.8" hidden="false" customHeight="false" outlineLevel="0" collapsed="false">
      <c r="A208" s="239" t="s">
        <v>214</v>
      </c>
      <c r="AMJ208" s="0"/>
    </row>
    <row r="209" customFormat="false" ht="13.8" hidden="false" customHeight="false" outlineLevel="0" collapsed="false"/>
    <row r="210" customFormat="false" ht="13.8" hidden="false" customHeight="false" outlineLevel="0" collapsed="false">
      <c r="A210" s="4" t="s">
        <v>1</v>
      </c>
      <c r="B210" s="4" t="s">
        <v>51</v>
      </c>
      <c r="C210" s="3" t="s">
        <v>9</v>
      </c>
      <c r="D210" s="5" t="s">
        <v>215</v>
      </c>
      <c r="E210" s="3" t="s">
        <v>216</v>
      </c>
      <c r="F210" s="241" t="s">
        <v>217</v>
      </c>
    </row>
    <row r="211" customFormat="false" ht="13.8" hidden="false" customHeight="false" outlineLevel="0" collapsed="false">
      <c r="A211" s="16"/>
      <c r="B211" s="16"/>
      <c r="C211" s="11"/>
      <c r="D211" s="12"/>
      <c r="E211" s="17"/>
      <c r="F211" s="242"/>
    </row>
    <row r="212" customFormat="false" ht="13.8" hidden="false" customHeight="false" outlineLevel="0" collapsed="false">
      <c r="A212" s="68" t="s">
        <v>218</v>
      </c>
      <c r="B212" s="68" t="s">
        <v>48</v>
      </c>
      <c r="C212" s="86" t="n">
        <v>0.360411615610969</v>
      </c>
      <c r="D212" s="86" t="n">
        <v>0.243300332282885</v>
      </c>
      <c r="E212" s="68" t="s">
        <v>219</v>
      </c>
      <c r="F212" s="243" t="n">
        <v>109</v>
      </c>
    </row>
    <row r="213" customFormat="false" ht="13.8" hidden="false" customHeight="false" outlineLevel="0" collapsed="false">
      <c r="A213" s="81"/>
      <c r="B213" s="81" t="s">
        <v>50</v>
      </c>
      <c r="C213" s="244" t="n">
        <v>0.267544207555482</v>
      </c>
      <c r="D213" s="244" t="n">
        <v>0.19877808067302</v>
      </c>
      <c r="E213" s="245" t="s">
        <v>220</v>
      </c>
      <c r="F213" s="246" t="n">
        <v>109</v>
      </c>
    </row>
    <row r="214" customFormat="false" ht="13.8" hidden="false" customHeight="false" outlineLevel="0" collapsed="false">
      <c r="A214" s="245"/>
      <c r="B214" s="70" t="s">
        <v>48</v>
      </c>
      <c r="C214" s="244" t="n">
        <v>0.22109345774671</v>
      </c>
      <c r="D214" s="244" t="n">
        <v>0.158982391171909</v>
      </c>
      <c r="E214" s="245" t="s">
        <v>219</v>
      </c>
      <c r="F214" s="246" t="n">
        <v>86</v>
      </c>
    </row>
    <row r="215" customFormat="false" ht="13.8" hidden="false" customHeight="false" outlineLevel="0" collapsed="false">
      <c r="A215" s="55"/>
      <c r="B215" s="247" t="s">
        <v>50</v>
      </c>
      <c r="C215" s="51" t="n">
        <v>0.262579130179212</v>
      </c>
      <c r="D215" s="51" t="n">
        <v>0.171569574528865</v>
      </c>
      <c r="E215" s="55" t="s">
        <v>220</v>
      </c>
      <c r="F215" s="248" t="n">
        <v>86</v>
      </c>
    </row>
    <row r="217" customFormat="false" ht="13.8" hidden="false" customHeight="false" outlineLevel="0" collapsed="false">
      <c r="A217" s="4" t="s">
        <v>1</v>
      </c>
      <c r="B217" s="4" t="s">
        <v>51</v>
      </c>
      <c r="C217" s="3" t="s">
        <v>221</v>
      </c>
      <c r="D217" s="249" t="s">
        <v>222</v>
      </c>
      <c r="E217" s="250" t="s">
        <v>223</v>
      </c>
    </row>
    <row r="218" customFormat="false" ht="13.8" hidden="false" customHeight="false" outlineLevel="0" collapsed="false">
      <c r="A218" s="16"/>
      <c r="B218" s="16"/>
      <c r="C218" s="11"/>
      <c r="D218" s="251"/>
      <c r="E218" s="252"/>
    </row>
    <row r="219" customFormat="false" ht="13.8" hidden="false" customHeight="false" outlineLevel="0" collapsed="false">
      <c r="A219" s="68" t="s">
        <v>224</v>
      </c>
      <c r="B219" s="68" t="s">
        <v>225</v>
      </c>
      <c r="C219" s="0" t="n">
        <v>0.00730348689710475</v>
      </c>
      <c r="D219" s="0" t="n">
        <v>0.843996761051988</v>
      </c>
      <c r="E219" s="0" t="n">
        <v>-1.6106882579886</v>
      </c>
    </row>
    <row r="220" customFormat="false" ht="13.8" hidden="false" customHeight="false" outlineLevel="0" collapsed="false">
      <c r="A220" s="81"/>
      <c r="B220" s="81" t="s">
        <v>226</v>
      </c>
      <c r="C220" s="0" t="n">
        <v>2.80143249862314E-005</v>
      </c>
      <c r="D220" s="0" t="n">
        <v>0.00521066444743903</v>
      </c>
      <c r="E220" s="0" t="n">
        <v>-1.01051236808309</v>
      </c>
    </row>
    <row r="221" customFormat="false" ht="13.8" hidden="false" customHeight="false" outlineLevel="0" collapsed="false">
      <c r="A221" s="245"/>
      <c r="B221" s="70" t="s">
        <v>227</v>
      </c>
      <c r="C221" s="0" t="n">
        <v>0.00026304011439564</v>
      </c>
      <c r="D221" s="0" t="n">
        <v>0.0426124985320937</v>
      </c>
      <c r="E221" s="0" t="n">
        <v>-0.183862013644295</v>
      </c>
    </row>
    <row r="222" customFormat="false" ht="13.8" hidden="false" customHeight="false" outlineLevel="0" collapsed="false">
      <c r="A222" s="55"/>
      <c r="B222" s="247" t="s">
        <v>228</v>
      </c>
      <c r="C222" s="0" t="n">
        <v>0.000924570405838014</v>
      </c>
      <c r="D222" s="0" t="n">
        <v>0.134062708846512</v>
      </c>
      <c r="E222" s="0" t="n">
        <v>0.441013936791739</v>
      </c>
    </row>
    <row r="223" customFormat="false" ht="13.8" hidden="false" customHeight="false" outlineLevel="0" collapsed="false">
      <c r="B223" s="245" t="s">
        <v>229</v>
      </c>
      <c r="C223" s="0" t="n">
        <v>0.00286027105486347</v>
      </c>
      <c r="D223" s="0" t="n">
        <v>0.380416050296841</v>
      </c>
      <c r="E223" s="0" t="n">
        <v>0.783491501014121</v>
      </c>
    </row>
    <row r="224" customFormat="false" ht="13.8" hidden="false" customHeight="false" outlineLevel="0" collapsed="false">
      <c r="B224" s="245" t="s">
        <v>230</v>
      </c>
      <c r="C224" s="0" t="n">
        <v>0.0072758341469999</v>
      </c>
      <c r="D224" s="0" t="n">
        <v>0.843996761051988</v>
      </c>
      <c r="E224" s="0" t="n">
        <v>1.10002437595631</v>
      </c>
    </row>
    <row r="226" customFormat="false" ht="13.8" hidden="false" customHeight="false" outlineLevel="0" collapsed="false">
      <c r="A226" s="4" t="s">
        <v>1</v>
      </c>
      <c r="B226" s="4" t="s">
        <v>51</v>
      </c>
      <c r="C226" s="3" t="s">
        <v>231</v>
      </c>
      <c r="D226" s="5" t="s">
        <v>232</v>
      </c>
      <c r="E226" s="253" t="s">
        <v>233</v>
      </c>
      <c r="F226" s="254" t="s">
        <v>234</v>
      </c>
      <c r="G226" s="255"/>
    </row>
    <row r="227" customFormat="false" ht="13.8" hidden="false" customHeight="false" outlineLevel="0" collapsed="false">
      <c r="A227" s="16"/>
      <c r="B227" s="16"/>
      <c r="C227" s="11"/>
      <c r="D227" s="12"/>
      <c r="E227" s="256"/>
      <c r="F227" s="257" t="s">
        <v>235</v>
      </c>
      <c r="G227" s="258" t="s">
        <v>236</v>
      </c>
    </row>
    <row r="228" customFormat="false" ht="13.8" hidden="false" customHeight="false" outlineLevel="0" collapsed="false">
      <c r="A228" s="245" t="s">
        <v>237</v>
      </c>
      <c r="B228" s="70" t="s">
        <v>48</v>
      </c>
      <c r="C228" s="29" t="s">
        <v>238</v>
      </c>
      <c r="D228" s="0" t="n">
        <v>15</v>
      </c>
      <c r="E228" s="0" t="n">
        <f aca="false">D228/SUM(D228:D229)</f>
        <v>0.714285714285714</v>
      </c>
      <c r="F228" s="0" t="n">
        <v>0.887190596078059</v>
      </c>
      <c r="G228" s="0" t="n">
        <v>0.478248881752886</v>
      </c>
    </row>
    <row r="229" customFormat="false" ht="13.8" hidden="false" customHeight="false" outlineLevel="0" collapsed="false">
      <c r="B229" s="70" t="s">
        <v>48</v>
      </c>
      <c r="C229" s="39" t="s">
        <v>239</v>
      </c>
      <c r="D229" s="0" t="n">
        <v>6</v>
      </c>
      <c r="E229" s="0" t="n">
        <f aca="false">D229/SUM(D228:D229)</f>
        <v>0.285714285714286</v>
      </c>
      <c r="F229" s="0" t="n">
        <v>0.521751118247114</v>
      </c>
      <c r="G229" s="0" t="n">
        <v>0.112809403921941</v>
      </c>
    </row>
    <row r="230" customFormat="false" ht="13.8" hidden="false" customHeight="false" outlineLevel="0" collapsed="false">
      <c r="B230" s="81" t="s">
        <v>50</v>
      </c>
      <c r="C230" s="29" t="s">
        <v>238</v>
      </c>
      <c r="D230" s="0" t="n">
        <v>16</v>
      </c>
      <c r="E230" s="0" t="n">
        <f aca="false">D230/SUM(D$230:D$232)</f>
        <v>0.470588235294118</v>
      </c>
      <c r="F230" s="0" t="n">
        <v>0.648707162948588</v>
      </c>
      <c r="G230" s="0" t="n">
        <v>0.297786666418196</v>
      </c>
    </row>
    <row r="231" customFormat="false" ht="13.8" hidden="false" customHeight="false" outlineLevel="0" collapsed="false">
      <c r="B231" s="81" t="s">
        <v>50</v>
      </c>
      <c r="C231" s="39" t="s">
        <v>239</v>
      </c>
      <c r="D231" s="0" t="n">
        <v>11</v>
      </c>
      <c r="E231" s="0" t="n">
        <f aca="false">D231/SUM(D$230:D$232)</f>
        <v>0.323529411764706</v>
      </c>
      <c r="F231" s="0" t="n">
        <v>0.505265300898505</v>
      </c>
      <c r="G231" s="0" t="n">
        <v>0.173883427493921</v>
      </c>
    </row>
    <row r="232" customFormat="false" ht="13.8" hidden="false" customHeight="false" outlineLevel="0" collapsed="false">
      <c r="B232" s="81" t="s">
        <v>50</v>
      </c>
      <c r="C232" s="0" t="s">
        <v>240</v>
      </c>
      <c r="D232" s="0" t="n">
        <v>7</v>
      </c>
      <c r="E232" s="0" t="n">
        <f aca="false">D232/SUM(D$230:D$232)</f>
        <v>0.205882352941176</v>
      </c>
      <c r="F232" s="0" t="n">
        <v>0.378977748539683</v>
      </c>
      <c r="G232" s="0" t="n">
        <v>0.0870213054581271</v>
      </c>
    </row>
    <row r="234" customFormat="false" ht="13.8" hidden="false" customHeight="false" outlineLevel="0" collapsed="false">
      <c r="A234" s="4" t="s">
        <v>1</v>
      </c>
      <c r="B234" s="4" t="s">
        <v>51</v>
      </c>
      <c r="C234" s="3" t="s">
        <v>231</v>
      </c>
      <c r="D234" s="3" t="s">
        <v>9</v>
      </c>
      <c r="E234" s="5" t="s">
        <v>215</v>
      </c>
      <c r="F234" s="241" t="s">
        <v>232</v>
      </c>
    </row>
    <row r="235" customFormat="false" ht="13.8" hidden="false" customHeight="false" outlineLevel="0" collapsed="false">
      <c r="A235" s="16"/>
      <c r="B235" s="16"/>
      <c r="C235" s="11"/>
      <c r="D235" s="11"/>
      <c r="E235" s="12"/>
      <c r="F235" s="242"/>
    </row>
    <row r="236" customFormat="false" ht="13.8" hidden="false" customHeight="false" outlineLevel="0" collapsed="false">
      <c r="A236" s="0" t="s">
        <v>241</v>
      </c>
      <c r="B236" s="70" t="s">
        <v>48</v>
      </c>
      <c r="C236" s="29" t="s">
        <v>238</v>
      </c>
      <c r="D236" s="245" t="n">
        <v>0.713980463980464</v>
      </c>
      <c r="E236" s="245" t="n">
        <v>0.75</v>
      </c>
      <c r="F236" s="245" t="n">
        <v>15</v>
      </c>
    </row>
    <row r="237" customFormat="false" ht="13.8" hidden="false" customHeight="false" outlineLevel="0" collapsed="false">
      <c r="B237" s="70" t="s">
        <v>48</v>
      </c>
      <c r="C237" s="39" t="s">
        <v>239</v>
      </c>
      <c r="D237" s="245" t="n">
        <v>0.567592592592593</v>
      </c>
      <c r="E237" s="245" t="n">
        <v>0.577777777777778</v>
      </c>
      <c r="F237" s="245" t="n">
        <v>6</v>
      </c>
    </row>
    <row r="238" customFormat="false" ht="13.8" hidden="false" customHeight="false" outlineLevel="0" collapsed="false">
      <c r="B238" s="81" t="s">
        <v>50</v>
      </c>
      <c r="C238" s="29" t="s">
        <v>238</v>
      </c>
      <c r="D238" s="245" t="n">
        <v>0.744791666666667</v>
      </c>
      <c r="E238" s="245" t="n">
        <v>0.708333333333333</v>
      </c>
      <c r="F238" s="245" t="n">
        <v>16</v>
      </c>
    </row>
    <row r="239" customFormat="false" ht="13.8" hidden="false" customHeight="false" outlineLevel="0" collapsed="false">
      <c r="B239" s="81" t="s">
        <v>50</v>
      </c>
      <c r="C239" s="39" t="s">
        <v>239</v>
      </c>
      <c r="D239" s="245" t="n">
        <v>0.709090909090909</v>
      </c>
      <c r="E239" s="245" t="n">
        <v>0.666666666666667</v>
      </c>
      <c r="F239" s="245" t="n">
        <v>11</v>
      </c>
    </row>
    <row r="240" customFormat="false" ht="13.8" hidden="false" customHeight="false" outlineLevel="0" collapsed="false">
      <c r="B240" s="81" t="s">
        <v>50</v>
      </c>
      <c r="C240" s="0" t="s">
        <v>240</v>
      </c>
      <c r="D240" s="245" t="n">
        <v>0.747619047619048</v>
      </c>
      <c r="E240" s="245" t="n">
        <v>0.666666666666667</v>
      </c>
      <c r="F240" s="245" t="n">
        <v>7</v>
      </c>
    </row>
    <row r="242" customFormat="false" ht="13.8" hidden="false" customHeight="false" outlineLevel="0" collapsed="false">
      <c r="A242" s="91" t="s">
        <v>242</v>
      </c>
      <c r="B242" s="91"/>
      <c r="C242" s="91"/>
      <c r="D242" s="91"/>
      <c r="E242" s="91"/>
      <c r="F242" s="91"/>
    </row>
    <row r="243" customFormat="false" ht="13.8" hidden="false" customHeight="false" outlineLevel="0" collapsed="false">
      <c r="A243" s="17" t="s">
        <v>62</v>
      </c>
      <c r="B243" s="18" t="s">
        <v>63</v>
      </c>
      <c r="C243" s="18" t="s">
        <v>64</v>
      </c>
      <c r="D243" s="18" t="s">
        <v>65</v>
      </c>
      <c r="E243" s="18" t="s">
        <v>66</v>
      </c>
      <c r="F243" s="19"/>
    </row>
    <row r="244" customFormat="false" ht="13.8" hidden="false" customHeight="false" outlineLevel="0" collapsed="false">
      <c r="A244" s="0" t="n">
        <v>1</v>
      </c>
      <c r="B244" s="0" t="n">
        <v>0.50037094764255</v>
      </c>
      <c r="C244" s="0" t="n">
        <v>0.50037094764255</v>
      </c>
      <c r="D244" s="0" t="n">
        <v>4.71875366379667</v>
      </c>
      <c r="E244" s="0" t="n">
        <v>0.0304433866581778</v>
      </c>
      <c r="F244" s="0" t="s">
        <v>51</v>
      </c>
    </row>
    <row r="245" customFormat="false" ht="13.8" hidden="false" customHeight="false" outlineLevel="0" collapsed="false">
      <c r="A245" s="0" t="n">
        <v>1</v>
      </c>
      <c r="B245" s="0" t="n">
        <v>0.11016701601286</v>
      </c>
      <c r="C245" s="0" t="n">
        <v>0.11016701601286</v>
      </c>
      <c r="D245" s="0" t="n">
        <v>1.03893124268997</v>
      </c>
      <c r="E245" s="0" t="n">
        <v>0.30870858134428</v>
      </c>
      <c r="F245" s="0" t="s">
        <v>216</v>
      </c>
    </row>
    <row r="246" customFormat="false" ht="13.8" hidden="false" customHeight="false" outlineLevel="0" collapsed="false">
      <c r="A246" s="0" t="n">
        <v>1</v>
      </c>
      <c r="B246" s="0" t="n">
        <v>0.433865981328204</v>
      </c>
      <c r="C246" s="0" t="n">
        <v>0.433865981328204</v>
      </c>
      <c r="D246" s="0" t="n">
        <v>4.09157785565868</v>
      </c>
      <c r="E246" s="0" t="n">
        <v>0.0437863723490364</v>
      </c>
      <c r="F246" s="0" t="s">
        <v>243</v>
      </c>
    </row>
    <row r="247" customFormat="false" ht="13.8" hidden="false" customHeight="false" outlineLevel="0" collapsed="false">
      <c r="A247" s="0" t="n">
        <v>386</v>
      </c>
      <c r="B247" s="0" t="n">
        <v>40.9309744799483</v>
      </c>
      <c r="C247" s="0" t="n">
        <v>0.106038793989503</v>
      </c>
    </row>
    <row r="249" customFormat="false" ht="13.8" hidden="false" customHeight="true" outlineLevel="0" collapsed="false">
      <c r="A249" s="259" t="s">
        <v>244</v>
      </c>
      <c r="B249" s="259"/>
      <c r="C249" s="259"/>
      <c r="D249" s="259"/>
      <c r="E249" s="259"/>
    </row>
    <row r="250" customFormat="false" ht="13.8" hidden="false" customHeight="false" outlineLevel="0" collapsed="false">
      <c r="A250" s="256" t="s">
        <v>245</v>
      </c>
      <c r="B250" s="257" t="s">
        <v>246</v>
      </c>
      <c r="C250" s="257" t="s">
        <v>247</v>
      </c>
      <c r="D250" s="257" t="s">
        <v>248</v>
      </c>
      <c r="E250" s="242"/>
    </row>
    <row r="251" customFormat="false" ht="13.8" hidden="false" customHeight="false" outlineLevel="0" collapsed="false">
      <c r="A251" s="0" t="n">
        <v>-0.139318157864258</v>
      </c>
      <c r="B251" s="0" t="n">
        <v>-0.260503526572325</v>
      </c>
      <c r="C251" s="0" t="n">
        <v>-0.0181327891561913</v>
      </c>
      <c r="D251" s="0" t="n">
        <v>0.0168202331309332</v>
      </c>
      <c r="E251" s="0" t="s">
        <v>249</v>
      </c>
    </row>
    <row r="252" customFormat="false" ht="13.8" hidden="false" customHeight="false" outlineLevel="0" collapsed="false">
      <c r="A252" s="0" t="n">
        <v>-0.0928674080554862</v>
      </c>
      <c r="B252" s="0" t="n">
        <v>-0.206681780030939</v>
      </c>
      <c r="C252" s="0" t="n">
        <v>0.0209469639199671</v>
      </c>
      <c r="D252" s="0" t="n">
        <v>0.153184904739057</v>
      </c>
      <c r="E252" s="94" t="s">
        <v>250</v>
      </c>
    </row>
    <row r="253" customFormat="false" ht="13.8" hidden="false" customHeight="false" outlineLevel="0" collapsed="false">
      <c r="A253" s="0" t="n">
        <v>-0.0978324854317562</v>
      </c>
      <c r="B253" s="0" t="n">
        <v>-0.219017854139823</v>
      </c>
      <c r="C253" s="0" t="n">
        <v>0.0233528832763106</v>
      </c>
      <c r="D253" s="0" t="n">
        <v>0.160467346374229</v>
      </c>
      <c r="E253" s="94" t="s">
        <v>251</v>
      </c>
    </row>
    <row r="254" customFormat="false" ht="13.8" hidden="false" customHeight="false" outlineLevel="0" collapsed="false">
      <c r="A254" s="0" t="n">
        <v>0.0464507498087718</v>
      </c>
      <c r="B254" s="0" t="n">
        <v>-0.074734618899295</v>
      </c>
      <c r="C254" s="0" t="n">
        <v>0.167636118516839</v>
      </c>
      <c r="D254" s="0" t="n">
        <v>0.755794755580998</v>
      </c>
      <c r="E254" s="94" t="s">
        <v>252</v>
      </c>
    </row>
    <row r="255" customFormat="false" ht="13.8" hidden="false" customHeight="false" outlineLevel="0" collapsed="false">
      <c r="A255" s="0" t="n">
        <v>0.0414856724325019</v>
      </c>
      <c r="B255" s="0" t="n">
        <v>-0.086647367450478</v>
      </c>
      <c r="C255" s="0" t="n">
        <v>0.169618712315482</v>
      </c>
      <c r="D255" s="0" t="n">
        <v>0.837582575188775</v>
      </c>
      <c r="E255" s="94" t="s">
        <v>253</v>
      </c>
    </row>
    <row r="256" customFormat="false" ht="13.8" hidden="false" customHeight="false" outlineLevel="0" collapsed="false">
      <c r="A256" s="0" t="n">
        <v>-0.00496507737626994</v>
      </c>
      <c r="B256" s="0" t="n">
        <v>-0.126150446084337</v>
      </c>
      <c r="C256" s="0" t="n">
        <v>0.116220291331797</v>
      </c>
      <c r="D256" s="0" t="n">
        <v>0.999576619757218</v>
      </c>
      <c r="E256" s="94" t="s">
        <v>254</v>
      </c>
    </row>
    <row r="258" customFormat="false" ht="13.8" hidden="false" customHeight="false" outlineLevel="0" collapsed="false">
      <c r="A258" s="260" t="s">
        <v>255</v>
      </c>
      <c r="B258" s="260"/>
      <c r="C258" s="260"/>
      <c r="D258" s="260"/>
      <c r="E258" s="260"/>
    </row>
    <row r="259" customFormat="false" ht="13.8" hidden="false" customHeight="false" outlineLevel="0" collapsed="false">
      <c r="A259" s="261" t="s">
        <v>256</v>
      </c>
    </row>
    <row r="260" customFormat="false" ht="13.8" hidden="false" customHeight="false" outlineLevel="0" collapsed="false">
      <c r="A260" s="29"/>
      <c r="B260" s="29" t="s">
        <v>257</v>
      </c>
      <c r="C260" s="29" t="s">
        <v>258</v>
      </c>
      <c r="D260" s="29" t="s">
        <v>259</v>
      </c>
      <c r="E260" s="29"/>
    </row>
    <row r="261" customFormat="false" ht="13.8" hidden="false" customHeight="false" outlineLevel="0" collapsed="false">
      <c r="A261" s="0" t="s">
        <v>260</v>
      </c>
      <c r="B261" s="0" t="n">
        <v>3</v>
      </c>
      <c r="C261" s="0" t="n">
        <v>7</v>
      </c>
      <c r="D261" s="0" t="n">
        <v>21</v>
      </c>
      <c r="E261" s="0" t="s">
        <v>261</v>
      </c>
    </row>
    <row r="262" customFormat="false" ht="13.8" hidden="false" customHeight="false" outlineLevel="0" collapsed="false">
      <c r="A262" s="0" t="s">
        <v>262</v>
      </c>
      <c r="B262" s="0" t="n">
        <v>0</v>
      </c>
      <c r="C262" s="0" t="n">
        <v>6</v>
      </c>
      <c r="D262" s="0" t="n">
        <v>15</v>
      </c>
    </row>
    <row r="263" customFormat="false" ht="13.8" hidden="false" customHeight="false" outlineLevel="0" collapsed="false"/>
    <row r="264" customFormat="false" ht="14.9" hidden="false" customHeight="false" outlineLevel="0" collapsed="false">
      <c r="A264" s="261" t="s">
        <v>263</v>
      </c>
    </row>
    <row r="265" customFormat="false" ht="13.8" hidden="false" customHeight="false" outlineLevel="0" collapsed="false">
      <c r="A265" s="0" t="s">
        <v>264</v>
      </c>
      <c r="B265" s="0" t="n">
        <v>0.05</v>
      </c>
    </row>
    <row r="266" customFormat="false" ht="13.8" hidden="false" customHeight="false" outlineLevel="0" collapsed="false">
      <c r="A266" s="0" t="s">
        <v>265</v>
      </c>
      <c r="B266" s="0" t="n">
        <v>2</v>
      </c>
    </row>
    <row r="267" customFormat="false" ht="13.8" hidden="false" customHeight="false" outlineLevel="0" collapsed="false">
      <c r="A267" s="0" t="s">
        <v>266</v>
      </c>
      <c r="B267" s="0" t="n">
        <v>0.326841619356702</v>
      </c>
    </row>
    <row r="268" customFormat="false" ht="13.8" hidden="false" customHeight="false" outlineLevel="0" collapsed="false">
      <c r="A268" s="0" t="s">
        <v>267</v>
      </c>
      <c r="B268" s="0" t="n">
        <v>2.23655913978495</v>
      </c>
    </row>
    <row r="269" customFormat="false" ht="13.8" hidden="false" customHeight="false" outlineLevel="0" collapsed="false">
      <c r="A269" s="0" t="s">
        <v>268</v>
      </c>
      <c r="B269" s="0" t="n">
        <v>5.99146454710798</v>
      </c>
    </row>
    <row r="270" customFormat="false" ht="13.8" hidden="false" customHeight="false" outlineLevel="0" collapsed="false"/>
    <row r="272" customFormat="false" ht="13.8" hidden="false" customHeight="false" outlineLevel="0" collapsed="false">
      <c r="A272" s="260" t="s">
        <v>269</v>
      </c>
      <c r="B272" s="260"/>
      <c r="C272" s="260"/>
      <c r="D272" s="260"/>
      <c r="E272" s="260"/>
    </row>
    <row r="273" customFormat="false" ht="13.8" hidden="false" customHeight="false" outlineLevel="0" collapsed="false">
      <c r="A273" s="261" t="s">
        <v>256</v>
      </c>
    </row>
    <row r="274" customFormat="false" ht="13.8" hidden="false" customHeight="false" outlineLevel="0" collapsed="false">
      <c r="A274" s="200"/>
      <c r="B274" s="29" t="s">
        <v>257</v>
      </c>
      <c r="C274" s="29" t="s">
        <v>258</v>
      </c>
      <c r="D274" s="29" t="s">
        <v>259</v>
      </c>
      <c r="E274" s="200"/>
    </row>
    <row r="275" customFormat="false" ht="15" hidden="false" customHeight="false" outlineLevel="0" collapsed="false">
      <c r="A275" s="262" t="s">
        <v>260</v>
      </c>
      <c r="B275" s="0" t="n">
        <v>2</v>
      </c>
      <c r="C275" s="0" t="n">
        <v>7</v>
      </c>
      <c r="D275" s="0" t="n">
        <v>14</v>
      </c>
      <c r="E275" s="0" t="s">
        <v>261</v>
      </c>
    </row>
    <row r="276" customFormat="false" ht="13.8" hidden="false" customHeight="false" outlineLevel="0" collapsed="false">
      <c r="A276" s="0" t="s">
        <v>262</v>
      </c>
      <c r="B276" s="0" t="n">
        <v>7</v>
      </c>
      <c r="C276" s="0" t="n">
        <v>11</v>
      </c>
      <c r="D276" s="0" t="n">
        <v>16</v>
      </c>
    </row>
    <row r="277" customFormat="false" ht="13.8" hidden="false" customHeight="false" outlineLevel="0" collapsed="false"/>
    <row r="278" customFormat="false" ht="14.9" hidden="false" customHeight="false" outlineLevel="0" collapsed="false">
      <c r="A278" s="261" t="s">
        <v>263</v>
      </c>
    </row>
    <row r="279" customFormat="false" ht="13.8" hidden="false" customHeight="false" outlineLevel="0" collapsed="false">
      <c r="A279" s="0" t="s">
        <v>264</v>
      </c>
      <c r="B279" s="0" t="n">
        <v>0.05</v>
      </c>
    </row>
    <row r="280" customFormat="false" ht="13.8" hidden="false" customHeight="false" outlineLevel="0" collapsed="false">
      <c r="A280" s="0" t="s">
        <v>265</v>
      </c>
      <c r="B280" s="0" t="n">
        <v>2</v>
      </c>
    </row>
    <row r="281" customFormat="false" ht="13.8" hidden="false" customHeight="false" outlineLevel="0" collapsed="false">
      <c r="A281" s="0" t="s">
        <v>266</v>
      </c>
      <c r="B281" s="0" t="n">
        <v>0.418517821543233</v>
      </c>
    </row>
    <row r="282" customFormat="false" ht="13.8" hidden="false" customHeight="false" outlineLevel="0" collapsed="false">
      <c r="A282" s="0" t="s">
        <v>267</v>
      </c>
      <c r="B282" s="0" t="n">
        <v>1.7420716112532</v>
      </c>
    </row>
    <row r="283" customFormat="false" ht="13.8" hidden="false" customHeight="false" outlineLevel="0" collapsed="false">
      <c r="A283" s="0" t="s">
        <v>268</v>
      </c>
      <c r="B283" s="0" t="n">
        <v>5.99146454710798</v>
      </c>
    </row>
    <row r="284" customFormat="false" ht="13.8" hidden="false" customHeight="false" outlineLevel="0" collapsed="false"/>
    <row r="285" customFormat="false" ht="13.8" hidden="false" customHeight="false" outlineLevel="0" collapsed="false">
      <c r="A285" s="91" t="s">
        <v>270</v>
      </c>
      <c r="B285" s="91"/>
      <c r="C285" s="91"/>
      <c r="D285" s="91"/>
      <c r="E285" s="91"/>
      <c r="F285" s="91"/>
    </row>
    <row r="286" customFormat="false" ht="13.8" hidden="false" customHeight="false" outlineLevel="0" collapsed="false">
      <c r="A286" s="17" t="s">
        <v>62</v>
      </c>
      <c r="B286" s="18" t="s">
        <v>63</v>
      </c>
      <c r="C286" s="18" t="s">
        <v>64</v>
      </c>
      <c r="D286" s="18" t="s">
        <v>65</v>
      </c>
      <c r="E286" s="18" t="s">
        <v>66</v>
      </c>
      <c r="F286" s="19"/>
    </row>
    <row r="287" customFormat="false" ht="13.8" hidden="false" customHeight="false" outlineLevel="0" collapsed="false">
      <c r="A287" s="0" t="n">
        <v>2</v>
      </c>
      <c r="B287" s="0" t="n">
        <v>0.157658393728093</v>
      </c>
      <c r="C287" s="0" t="n">
        <v>0.0788291968640465</v>
      </c>
      <c r="D287" s="0" t="n">
        <v>0.735334859761559</v>
      </c>
      <c r="E287" s="0" t="n">
        <v>0.484456323226577</v>
      </c>
      <c r="F287" s="0" t="s">
        <v>271</v>
      </c>
    </row>
    <row r="288" customFormat="false" ht="13.8" hidden="false" customHeight="false" outlineLevel="0" collapsed="false">
      <c r="A288" s="0" t="n">
        <v>1</v>
      </c>
      <c r="B288" s="0" t="n">
        <v>0.148366513782152</v>
      </c>
      <c r="C288" s="0" t="n">
        <v>0.148366513782152</v>
      </c>
      <c r="D288" s="0" t="n">
        <v>1.3839931642773</v>
      </c>
      <c r="E288" s="0" t="n">
        <v>0.244992799258121</v>
      </c>
      <c r="F288" s="0" t="s">
        <v>51</v>
      </c>
    </row>
    <row r="289" customFormat="false" ht="13.8" hidden="false" customHeight="false" outlineLevel="0" collapsed="false">
      <c r="A289" s="0" t="n">
        <v>1</v>
      </c>
      <c r="B289" s="0" t="n">
        <v>0.0630060365630224</v>
      </c>
      <c r="C289" s="0" t="n">
        <v>0.0630060365630224</v>
      </c>
      <c r="D289" s="0" t="n">
        <v>0.587733186475388</v>
      </c>
      <c r="E289" s="0" t="n">
        <v>0.446901718005787</v>
      </c>
      <c r="F289" s="94" t="s">
        <v>272</v>
      </c>
    </row>
    <row r="290" customFormat="false" ht="13.8" hidden="false" customHeight="false" outlineLevel="0" collapsed="false">
      <c r="A290" s="0" t="n">
        <v>50</v>
      </c>
      <c r="B290" s="0" t="n">
        <v>5.36008838813978</v>
      </c>
      <c r="C290" s="0" t="n">
        <v>0.107201767762796</v>
      </c>
    </row>
  </sheetData>
  <mergeCells count="53">
    <mergeCell ref="A3:A7"/>
    <mergeCell ref="A11:A13"/>
    <mergeCell ref="A17:A22"/>
    <mergeCell ref="B17:B18"/>
    <mergeCell ref="C17:F17"/>
    <mergeCell ref="A43:A44"/>
    <mergeCell ref="B43:B44"/>
    <mergeCell ref="C43:E43"/>
    <mergeCell ref="F43:H43"/>
    <mergeCell ref="A45:A46"/>
    <mergeCell ref="A47:A48"/>
    <mergeCell ref="A53:A55"/>
    <mergeCell ref="A73:A74"/>
    <mergeCell ref="B103:D103"/>
    <mergeCell ref="E103:G103"/>
    <mergeCell ref="H103:J103"/>
    <mergeCell ref="B110:B111"/>
    <mergeCell ref="C110:C111"/>
    <mergeCell ref="D110:D111"/>
    <mergeCell ref="E110:E111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A116:A118"/>
    <mergeCell ref="A120:A122"/>
    <mergeCell ref="B120:J120"/>
    <mergeCell ref="B121:D121"/>
    <mergeCell ref="E121:G121"/>
    <mergeCell ref="H121:J121"/>
    <mergeCell ref="A127:A128"/>
    <mergeCell ref="B127:B128"/>
    <mergeCell ref="C127:E127"/>
    <mergeCell ref="F127:H127"/>
    <mergeCell ref="A129:A131"/>
    <mergeCell ref="A132:A134"/>
    <mergeCell ref="B138:E138"/>
    <mergeCell ref="H138:K138"/>
    <mergeCell ref="A139:A206"/>
    <mergeCell ref="G139:G188"/>
    <mergeCell ref="H155:K155"/>
    <mergeCell ref="B161:E161"/>
    <mergeCell ref="H172:K172"/>
    <mergeCell ref="B184:E184"/>
    <mergeCell ref="A242:F242"/>
    <mergeCell ref="A249:E249"/>
    <mergeCell ref="A258:E258"/>
    <mergeCell ref="A272:E272"/>
    <mergeCell ref="A285:F28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P2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3" activeCellId="0" sqref="B3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14.14"/>
    <col collapsed="false" customWidth="true" hidden="false" outlineLevel="0" max="3" min="3" style="0" width="17.28"/>
    <col collapsed="false" customWidth="true" hidden="false" outlineLevel="0" max="6" min="6" style="0" width="12.28"/>
    <col collapsed="false" customWidth="true" hidden="false" outlineLevel="0" max="7" min="7" style="0" width="31"/>
    <col collapsed="false" customWidth="true" hidden="false" outlineLevel="0" max="10" min="10" style="0" width="13.71"/>
    <col collapsed="false" customWidth="true" hidden="false" outlineLevel="0" max="11" min="11" style="0" width="11.43"/>
    <col collapsed="false" customWidth="true" hidden="false" outlineLevel="0" max="12" min="12" style="0" width="11.57"/>
    <col collapsed="false" customWidth="true" hidden="false" outlineLevel="0" max="13" min="13" style="0" width="14.28"/>
  </cols>
  <sheetData>
    <row r="2" customFormat="false" ht="15.75" hidden="false" customHeight="false" outlineLevel="0" collapsed="false"/>
    <row r="3" customFormat="false" ht="15" hidden="false" customHeight="false" outlineLevel="0" collapsed="false">
      <c r="B3" s="3" t="s">
        <v>95</v>
      </c>
      <c r="C3" s="4" t="s">
        <v>2</v>
      </c>
      <c r="D3" s="3" t="s">
        <v>3</v>
      </c>
      <c r="E3" s="5"/>
      <c r="F3" s="6"/>
      <c r="G3" s="3" t="s">
        <v>5</v>
      </c>
      <c r="H3" s="7"/>
      <c r="I3" s="7"/>
      <c r="J3" s="7"/>
      <c r="K3" s="7"/>
      <c r="L3" s="7"/>
      <c r="M3" s="7"/>
      <c r="N3" s="7"/>
      <c r="O3" s="7"/>
      <c r="P3" s="8"/>
    </row>
    <row r="4" customFormat="false" ht="15.75" hidden="false" customHeight="false" outlineLevel="0" collapsed="false">
      <c r="B4" s="9"/>
      <c r="C4" s="10"/>
      <c r="D4" s="11" t="s">
        <v>9</v>
      </c>
      <c r="E4" s="12" t="s">
        <v>10</v>
      </c>
      <c r="F4" s="13" t="s">
        <v>11</v>
      </c>
      <c r="G4" s="9"/>
      <c r="H4" s="14"/>
      <c r="I4" s="14"/>
      <c r="J4" s="263"/>
      <c r="K4" s="263"/>
      <c r="L4" s="263"/>
      <c r="M4" s="263"/>
      <c r="N4" s="263"/>
      <c r="O4" s="263"/>
      <c r="P4" s="264"/>
    </row>
    <row r="5" customFormat="false" ht="15" hidden="false" customHeight="false" outlineLevel="0" collapsed="false">
      <c r="B5" s="20" t="s">
        <v>140</v>
      </c>
      <c r="C5" s="21" t="s">
        <v>18</v>
      </c>
      <c r="D5" s="265" t="n">
        <v>24.04</v>
      </c>
      <c r="E5" s="266" t="n">
        <v>4.265</v>
      </c>
      <c r="F5" s="28" t="n">
        <v>45</v>
      </c>
      <c r="I5" s="267" t="s">
        <v>19</v>
      </c>
      <c r="J5" s="67" t="s">
        <v>20</v>
      </c>
      <c r="K5" s="268" t="s">
        <v>21</v>
      </c>
      <c r="L5" s="268" t="s">
        <v>22</v>
      </c>
      <c r="M5" s="268" t="s">
        <v>23</v>
      </c>
      <c r="N5" s="268" t="s">
        <v>24</v>
      </c>
      <c r="O5" s="268" t="s">
        <v>25</v>
      </c>
      <c r="P5" s="269" t="s">
        <v>26</v>
      </c>
    </row>
    <row r="6" customFormat="false" ht="15" hidden="false" customHeight="false" outlineLevel="0" collapsed="false">
      <c r="B6" s="35" t="s">
        <v>28</v>
      </c>
      <c r="C6" s="21" t="s">
        <v>29</v>
      </c>
      <c r="D6" s="36" t="n">
        <v>15.61</v>
      </c>
      <c r="E6" s="37" t="n">
        <v>3.701</v>
      </c>
      <c r="F6" s="28" t="n">
        <v>18</v>
      </c>
      <c r="G6" s="29" t="s">
        <v>30</v>
      </c>
      <c r="H6" s="29" t="s">
        <v>31</v>
      </c>
      <c r="I6" s="270" t="s">
        <v>273</v>
      </c>
      <c r="J6" s="78" t="n">
        <v>29.12</v>
      </c>
      <c r="K6" s="29"/>
      <c r="L6" s="29"/>
      <c r="M6" s="29"/>
      <c r="N6" s="29"/>
      <c r="O6" s="29"/>
      <c r="P6" s="106"/>
    </row>
    <row r="7" customFormat="false" ht="15" hidden="false" customHeight="false" outlineLevel="0" collapsed="false">
      <c r="B7" s="35"/>
      <c r="C7" s="21" t="s">
        <v>32</v>
      </c>
      <c r="D7" s="36" t="n">
        <v>21.74</v>
      </c>
      <c r="E7" s="37" t="n">
        <v>3.693</v>
      </c>
      <c r="F7" s="28" t="n">
        <v>27</v>
      </c>
      <c r="G7" s="29" t="s">
        <v>33</v>
      </c>
      <c r="H7" s="29" t="s">
        <v>34</v>
      </c>
      <c r="I7" s="41" t="n">
        <v>0.5874</v>
      </c>
      <c r="J7" s="78"/>
      <c r="K7" s="271" t="n">
        <v>85.34</v>
      </c>
      <c r="L7" s="271" t="n">
        <v>67.92</v>
      </c>
      <c r="M7" s="271" t="n">
        <v>17.43</v>
      </c>
      <c r="N7" s="271" t="n">
        <v>45</v>
      </c>
      <c r="O7" s="271" t="n">
        <v>18</v>
      </c>
      <c r="P7" s="272" t="n">
        <v>1.565</v>
      </c>
    </row>
    <row r="8" customFormat="false" ht="15" hidden="false" customHeight="false" outlineLevel="0" collapsed="false">
      <c r="B8" s="35"/>
      <c r="C8" s="21" t="s">
        <v>36</v>
      </c>
      <c r="D8" s="36" t="n">
        <v>11.82</v>
      </c>
      <c r="E8" s="37" t="n">
        <v>3.373</v>
      </c>
      <c r="F8" s="28" t="n">
        <v>22</v>
      </c>
      <c r="G8" s="29"/>
      <c r="H8" s="29" t="s">
        <v>37</v>
      </c>
      <c r="I8" s="41" t="n">
        <v>0.8302</v>
      </c>
      <c r="J8" s="78"/>
      <c r="K8" s="271" t="n">
        <v>67.92</v>
      </c>
      <c r="L8" s="271" t="n">
        <v>84.74</v>
      </c>
      <c r="M8" s="271" t="n">
        <v>-16.82</v>
      </c>
      <c r="N8" s="271" t="n">
        <v>18</v>
      </c>
      <c r="O8" s="271" t="n">
        <v>27</v>
      </c>
      <c r="P8" s="272" t="n">
        <v>1.385</v>
      </c>
    </row>
    <row r="9" customFormat="false" ht="15" hidden="false" customHeight="false" outlineLevel="0" collapsed="false">
      <c r="B9" s="35"/>
      <c r="C9" s="21" t="s">
        <v>38</v>
      </c>
      <c r="D9" s="36" t="s">
        <v>274</v>
      </c>
      <c r="E9" s="37" t="s">
        <v>274</v>
      </c>
      <c r="F9" s="28" t="n">
        <v>0</v>
      </c>
      <c r="G9" s="29"/>
      <c r="H9" s="29" t="s">
        <v>39</v>
      </c>
      <c r="I9" s="270" t="n">
        <v>0.0538</v>
      </c>
      <c r="J9" s="78"/>
      <c r="K9" s="271" t="n">
        <v>84.74</v>
      </c>
      <c r="L9" s="271" t="n">
        <v>55.5</v>
      </c>
      <c r="M9" s="271" t="n">
        <v>29.24</v>
      </c>
      <c r="N9" s="271" t="n">
        <v>27</v>
      </c>
      <c r="O9" s="271" t="n">
        <v>22</v>
      </c>
      <c r="P9" s="272" t="n">
        <v>2.55</v>
      </c>
    </row>
    <row r="10" customFormat="false" ht="15" hidden="false" customHeight="false" outlineLevel="0" collapsed="false">
      <c r="B10" s="35"/>
      <c r="C10" s="21" t="s">
        <v>40</v>
      </c>
      <c r="D10" s="36" t="n">
        <v>7.733</v>
      </c>
      <c r="E10" s="37" t="n">
        <v>2.214</v>
      </c>
      <c r="F10" s="28" t="n">
        <v>15</v>
      </c>
      <c r="G10" s="29"/>
      <c r="H10" s="29" t="s">
        <v>41</v>
      </c>
      <c r="I10" s="245" t="s">
        <v>274</v>
      </c>
      <c r="J10" s="78"/>
      <c r="K10" s="271" t="s">
        <v>274</v>
      </c>
      <c r="L10" s="271" t="s">
        <v>274</v>
      </c>
      <c r="M10" s="271" t="s">
        <v>274</v>
      </c>
      <c r="N10" s="271" t="s">
        <v>274</v>
      </c>
      <c r="O10" s="271" t="s">
        <v>274</v>
      </c>
      <c r="P10" s="272" t="s">
        <v>274</v>
      </c>
    </row>
    <row r="11" customFormat="false" ht="15" hidden="false" customHeight="false" outlineLevel="0" collapsed="false">
      <c r="B11" s="35"/>
      <c r="C11" s="21" t="s">
        <v>42</v>
      </c>
      <c r="D11" s="36" t="n">
        <v>4.636</v>
      </c>
      <c r="E11" s="37" t="n">
        <v>0.766</v>
      </c>
      <c r="F11" s="28" t="n">
        <v>11</v>
      </c>
      <c r="G11" s="29"/>
      <c r="H11" s="29" t="s">
        <v>43</v>
      </c>
      <c r="I11" s="245" t="s">
        <v>274</v>
      </c>
      <c r="J11" s="78"/>
      <c r="K11" s="271" t="s">
        <v>274</v>
      </c>
      <c r="L11" s="271" t="s">
        <v>274</v>
      </c>
      <c r="M11" s="271" t="s">
        <v>274</v>
      </c>
      <c r="N11" s="271" t="s">
        <v>274</v>
      </c>
      <c r="O11" s="271" t="s">
        <v>274</v>
      </c>
      <c r="P11" s="272" t="s">
        <v>274</v>
      </c>
    </row>
    <row r="12" customFormat="false" ht="15" hidden="false" customHeight="false" outlineLevel="0" collapsed="false">
      <c r="B12" s="45"/>
      <c r="C12" s="53"/>
      <c r="D12" s="54"/>
      <c r="E12" s="55"/>
      <c r="F12" s="248"/>
      <c r="G12" s="76"/>
      <c r="H12" s="46" t="s">
        <v>44</v>
      </c>
      <c r="I12" s="77" t="s">
        <v>35</v>
      </c>
      <c r="J12" s="79"/>
      <c r="K12" s="273" t="n">
        <v>43.27</v>
      </c>
      <c r="L12" s="273" t="n">
        <v>33.64</v>
      </c>
      <c r="M12" s="273" t="n">
        <v>9.63</v>
      </c>
      <c r="N12" s="273" t="n">
        <v>15</v>
      </c>
      <c r="O12" s="273" t="n">
        <v>11</v>
      </c>
      <c r="P12" s="274" t="n">
        <v>0.6077</v>
      </c>
    </row>
    <row r="13" customFormat="false" ht="15" hidden="false" customHeight="false" outlineLevel="0" collapsed="false">
      <c r="B13" s="20" t="s">
        <v>139</v>
      </c>
      <c r="C13" s="21" t="s">
        <v>18</v>
      </c>
      <c r="D13" s="265" t="n">
        <v>26.42</v>
      </c>
      <c r="E13" s="266" t="n">
        <v>4.746</v>
      </c>
      <c r="F13" s="28" t="n">
        <v>38</v>
      </c>
      <c r="H13" s="94"/>
      <c r="I13" s="267" t="s">
        <v>19</v>
      </c>
      <c r="J13" s="275" t="s">
        <v>20</v>
      </c>
      <c r="K13" s="276" t="s">
        <v>21</v>
      </c>
      <c r="L13" s="276" t="s">
        <v>22</v>
      </c>
      <c r="M13" s="276" t="s">
        <v>23</v>
      </c>
      <c r="N13" s="276" t="s">
        <v>24</v>
      </c>
      <c r="O13" s="276" t="s">
        <v>25</v>
      </c>
      <c r="P13" s="277" t="s">
        <v>26</v>
      </c>
    </row>
    <row r="14" customFormat="false" ht="15" hidden="false" customHeight="false" outlineLevel="0" collapsed="false">
      <c r="B14" s="35" t="s">
        <v>28</v>
      </c>
      <c r="C14" s="21" t="s">
        <v>29</v>
      </c>
      <c r="D14" s="36" t="n">
        <v>28.32</v>
      </c>
      <c r="E14" s="37" t="n">
        <v>6.766</v>
      </c>
      <c r="F14" s="28" t="n">
        <v>28</v>
      </c>
      <c r="G14" s="29" t="s">
        <v>30</v>
      </c>
      <c r="H14" s="29" t="s">
        <v>31</v>
      </c>
      <c r="I14" s="270" t="s">
        <v>273</v>
      </c>
      <c r="J14" s="278" t="n">
        <v>35.08</v>
      </c>
      <c r="K14" s="29"/>
      <c r="L14" s="29"/>
      <c r="M14" s="29"/>
      <c r="N14" s="29"/>
      <c r="O14" s="29"/>
      <c r="P14" s="106"/>
    </row>
    <row r="15" customFormat="false" ht="15" hidden="false" customHeight="false" outlineLevel="0" collapsed="false">
      <c r="B15" s="35"/>
      <c r="C15" s="21" t="s">
        <v>32</v>
      </c>
      <c r="D15" s="36" t="n">
        <v>23.09</v>
      </c>
      <c r="E15" s="37" t="n">
        <v>4.255</v>
      </c>
      <c r="F15" s="28" t="n">
        <v>34</v>
      </c>
      <c r="G15" s="29" t="s">
        <v>33</v>
      </c>
      <c r="H15" s="29" t="s">
        <v>34</v>
      </c>
      <c r="I15" s="41" t="s">
        <v>35</v>
      </c>
      <c r="J15" s="78"/>
      <c r="K15" s="279" t="n">
        <v>128.9</v>
      </c>
      <c r="L15" s="279" t="n">
        <v>139.7</v>
      </c>
      <c r="M15" s="279" t="n">
        <v>-10.82</v>
      </c>
      <c r="N15" s="279" t="n">
        <v>38</v>
      </c>
      <c r="O15" s="279" t="n">
        <v>28</v>
      </c>
      <c r="P15" s="74" t="n">
        <v>0.6843</v>
      </c>
    </row>
    <row r="16" customFormat="false" ht="15" hidden="false" customHeight="false" outlineLevel="0" collapsed="false">
      <c r="B16" s="35"/>
      <c r="C16" s="21" t="s">
        <v>36</v>
      </c>
      <c r="D16" s="36" t="n">
        <v>16.61</v>
      </c>
      <c r="E16" s="37" t="n">
        <v>3.347</v>
      </c>
      <c r="F16" s="28" t="n">
        <v>28</v>
      </c>
      <c r="G16" s="29"/>
      <c r="H16" s="29" t="s">
        <v>37</v>
      </c>
      <c r="I16" s="41" t="s">
        <v>35</v>
      </c>
      <c r="J16" s="78"/>
      <c r="K16" s="279" t="n">
        <v>139.7</v>
      </c>
      <c r="L16" s="279" t="n">
        <v>137.4</v>
      </c>
      <c r="M16" s="279" t="n">
        <v>2.273</v>
      </c>
      <c r="N16" s="279" t="n">
        <v>28</v>
      </c>
      <c r="O16" s="279" t="n">
        <v>34</v>
      </c>
      <c r="P16" s="74" t="n">
        <v>0.1403</v>
      </c>
    </row>
    <row r="17" customFormat="false" ht="15" hidden="false" customHeight="false" outlineLevel="0" collapsed="false">
      <c r="B17" s="35"/>
      <c r="C17" s="21" t="s">
        <v>38</v>
      </c>
      <c r="D17" s="36" t="n">
        <v>10.28</v>
      </c>
      <c r="E17" s="37" t="n">
        <v>2.174</v>
      </c>
      <c r="F17" s="28" t="n">
        <v>32</v>
      </c>
      <c r="G17" s="29"/>
      <c r="H17" s="29" t="s">
        <v>39</v>
      </c>
      <c r="I17" s="270" t="n">
        <v>0.9176</v>
      </c>
      <c r="J17" s="78"/>
      <c r="K17" s="279" t="n">
        <v>137.4</v>
      </c>
      <c r="L17" s="279" t="n">
        <v>114.3</v>
      </c>
      <c r="M17" s="279" t="n">
        <v>23.16</v>
      </c>
      <c r="N17" s="279" t="n">
        <v>34</v>
      </c>
      <c r="O17" s="279" t="n">
        <v>28</v>
      </c>
      <c r="P17" s="74" t="n">
        <v>1.429</v>
      </c>
    </row>
    <row r="18" customFormat="false" ht="15" hidden="false" customHeight="false" outlineLevel="0" collapsed="false">
      <c r="B18" s="35"/>
      <c r="C18" s="21" t="s">
        <v>40</v>
      </c>
      <c r="D18" s="36" t="n">
        <v>7.205</v>
      </c>
      <c r="E18" s="37" t="n">
        <v>1.023</v>
      </c>
      <c r="F18" s="28" t="n">
        <v>39</v>
      </c>
      <c r="G18" s="29"/>
      <c r="H18" s="29" t="s">
        <v>41</v>
      </c>
      <c r="I18" s="41" t="s">
        <v>35</v>
      </c>
      <c r="J18" s="78"/>
      <c r="K18" s="279" t="n">
        <v>114.3</v>
      </c>
      <c r="L18" s="279" t="n">
        <v>93.95</v>
      </c>
      <c r="M18" s="279" t="n">
        <v>20.33</v>
      </c>
      <c r="N18" s="279" t="n">
        <v>28</v>
      </c>
      <c r="O18" s="279" t="n">
        <v>32</v>
      </c>
      <c r="P18" s="74" t="n">
        <v>1.238</v>
      </c>
    </row>
    <row r="19" customFormat="false" ht="15" hidden="false" customHeight="false" outlineLevel="0" collapsed="false">
      <c r="B19" s="35"/>
      <c r="C19" s="21" t="s">
        <v>42</v>
      </c>
      <c r="D19" s="36" t="n">
        <v>5.048</v>
      </c>
      <c r="E19" s="37" t="n">
        <v>0.7699</v>
      </c>
      <c r="F19" s="28" t="n">
        <v>21</v>
      </c>
      <c r="G19" s="29"/>
      <c r="H19" s="29" t="s">
        <v>43</v>
      </c>
      <c r="I19" s="41" t="s">
        <v>35</v>
      </c>
      <c r="J19" s="78"/>
      <c r="K19" s="279" t="n">
        <v>93.95</v>
      </c>
      <c r="L19" s="279" t="n">
        <v>82.62</v>
      </c>
      <c r="M19" s="279" t="n">
        <v>11.34</v>
      </c>
      <c r="N19" s="279" t="n">
        <v>32</v>
      </c>
      <c r="O19" s="279" t="n">
        <v>39</v>
      </c>
      <c r="P19" s="74" t="n">
        <v>0.7487</v>
      </c>
    </row>
    <row r="20" customFormat="false" ht="15" hidden="false" customHeight="false" outlineLevel="0" collapsed="false">
      <c r="B20" s="45"/>
      <c r="C20" s="53"/>
      <c r="D20" s="54"/>
      <c r="E20" s="55"/>
      <c r="F20" s="248"/>
      <c r="G20" s="46"/>
      <c r="H20" s="46" t="s">
        <v>44</v>
      </c>
      <c r="I20" s="57" t="s">
        <v>35</v>
      </c>
      <c r="J20" s="79"/>
      <c r="K20" s="280" t="n">
        <v>82.62</v>
      </c>
      <c r="L20" s="280" t="n">
        <v>66.6</v>
      </c>
      <c r="M20" s="280" t="n">
        <v>16.02</v>
      </c>
      <c r="N20" s="280" t="n">
        <v>39</v>
      </c>
      <c r="O20" s="280" t="n">
        <v>21</v>
      </c>
      <c r="P20" s="57" t="n">
        <v>0.9323</v>
      </c>
    </row>
    <row r="21" customFormat="false" ht="15" hidden="false" customHeight="false" outlineLevel="0" collapsed="false">
      <c r="B21" s="20" t="s">
        <v>141</v>
      </c>
      <c r="C21" s="21" t="s">
        <v>18</v>
      </c>
      <c r="D21" s="265" t="n">
        <v>28.65</v>
      </c>
      <c r="E21" s="266" t="n">
        <v>6.177</v>
      </c>
      <c r="F21" s="28" t="n">
        <v>26</v>
      </c>
      <c r="H21" s="94"/>
      <c r="I21" s="267" t="s">
        <v>19</v>
      </c>
      <c r="J21" s="67" t="s">
        <v>20</v>
      </c>
      <c r="K21" s="268" t="s">
        <v>21</v>
      </c>
      <c r="L21" s="268" t="s">
        <v>22</v>
      </c>
      <c r="M21" s="268" t="s">
        <v>23</v>
      </c>
      <c r="N21" s="268" t="s">
        <v>24</v>
      </c>
      <c r="O21" s="268" t="s">
        <v>25</v>
      </c>
      <c r="P21" s="269" t="s">
        <v>26</v>
      </c>
    </row>
    <row r="22" customFormat="false" ht="15" hidden="false" customHeight="false" outlineLevel="0" collapsed="false">
      <c r="B22" s="35" t="s">
        <v>28</v>
      </c>
      <c r="C22" s="21" t="s">
        <v>29</v>
      </c>
      <c r="D22" s="36" t="s">
        <v>274</v>
      </c>
      <c r="E22" s="37" t="s">
        <v>274</v>
      </c>
      <c r="F22" s="28" t="n">
        <v>0</v>
      </c>
      <c r="G22" s="29" t="s">
        <v>30</v>
      </c>
      <c r="H22" s="29" t="s">
        <v>31</v>
      </c>
      <c r="I22" s="270" t="s">
        <v>273</v>
      </c>
      <c r="J22" s="78" t="n">
        <v>24.32</v>
      </c>
      <c r="K22" s="29"/>
      <c r="L22" s="29"/>
      <c r="M22" s="29"/>
      <c r="N22" s="29"/>
      <c r="O22" s="29"/>
      <c r="P22" s="106"/>
    </row>
    <row r="23" customFormat="false" ht="15" hidden="false" customHeight="false" outlineLevel="0" collapsed="false">
      <c r="B23" s="35"/>
      <c r="C23" s="21" t="s">
        <v>32</v>
      </c>
      <c r="D23" s="36" t="n">
        <v>24.56</v>
      </c>
      <c r="E23" s="37" t="n">
        <v>4.342</v>
      </c>
      <c r="F23" s="28" t="n">
        <v>32</v>
      </c>
      <c r="G23" s="29" t="s">
        <v>33</v>
      </c>
      <c r="H23" s="29" t="s">
        <v>34</v>
      </c>
      <c r="I23" s="245" t="s">
        <v>274</v>
      </c>
      <c r="J23" s="78"/>
      <c r="K23" s="271" t="s">
        <v>274</v>
      </c>
      <c r="L23" s="271" t="s">
        <v>274</v>
      </c>
      <c r="M23" s="271" t="s">
        <v>274</v>
      </c>
      <c r="N23" s="271" t="s">
        <v>274</v>
      </c>
      <c r="O23" s="271" t="s">
        <v>274</v>
      </c>
      <c r="P23" s="272" t="s">
        <v>274</v>
      </c>
    </row>
    <row r="24" customFormat="false" ht="15" hidden="false" customHeight="false" outlineLevel="0" collapsed="false">
      <c r="B24" s="35"/>
      <c r="C24" s="21" t="s">
        <v>36</v>
      </c>
      <c r="D24" s="36" t="s">
        <v>274</v>
      </c>
      <c r="E24" s="37" t="s">
        <v>274</v>
      </c>
      <c r="F24" s="28" t="n">
        <v>0</v>
      </c>
      <c r="G24" s="29"/>
      <c r="H24" s="29" t="s">
        <v>37</v>
      </c>
      <c r="I24" s="245" t="s">
        <v>274</v>
      </c>
      <c r="J24" s="78"/>
      <c r="K24" s="271" t="s">
        <v>274</v>
      </c>
      <c r="L24" s="271" t="s">
        <v>274</v>
      </c>
      <c r="M24" s="271" t="s">
        <v>274</v>
      </c>
      <c r="N24" s="271" t="s">
        <v>274</v>
      </c>
      <c r="O24" s="271" t="s">
        <v>274</v>
      </c>
      <c r="P24" s="272" t="s">
        <v>274</v>
      </c>
    </row>
    <row r="25" customFormat="false" ht="15" hidden="false" customHeight="false" outlineLevel="0" collapsed="false">
      <c r="B25" s="35"/>
      <c r="C25" s="21" t="s">
        <v>38</v>
      </c>
      <c r="D25" s="36" t="n">
        <v>11.24</v>
      </c>
      <c r="E25" s="37" t="n">
        <v>1.906</v>
      </c>
      <c r="F25" s="28" t="n">
        <v>29</v>
      </c>
      <c r="G25" s="29"/>
      <c r="H25" s="29" t="s">
        <v>39</v>
      </c>
      <c r="I25" s="245" t="s">
        <v>274</v>
      </c>
      <c r="J25" s="78"/>
      <c r="K25" s="271" t="s">
        <v>274</v>
      </c>
      <c r="L25" s="271" t="s">
        <v>274</v>
      </c>
      <c r="M25" s="271" t="s">
        <v>274</v>
      </c>
      <c r="N25" s="271" t="s">
        <v>274</v>
      </c>
      <c r="O25" s="271" t="s">
        <v>274</v>
      </c>
      <c r="P25" s="272" t="s">
        <v>274</v>
      </c>
    </row>
    <row r="26" customFormat="false" ht="15" hidden="false" customHeight="false" outlineLevel="0" collapsed="false">
      <c r="B26" s="35"/>
      <c r="C26" s="21" t="s">
        <v>40</v>
      </c>
      <c r="D26" s="36" t="n">
        <v>7.429</v>
      </c>
      <c r="E26" s="37" t="n">
        <v>1.199</v>
      </c>
      <c r="F26" s="28" t="n">
        <v>14</v>
      </c>
      <c r="G26" s="29"/>
      <c r="H26" s="29" t="s">
        <v>41</v>
      </c>
      <c r="I26" s="245" t="s">
        <v>274</v>
      </c>
      <c r="J26" s="78"/>
      <c r="K26" s="271" t="s">
        <v>274</v>
      </c>
      <c r="L26" s="271" t="s">
        <v>274</v>
      </c>
      <c r="M26" s="271" t="s">
        <v>274</v>
      </c>
      <c r="N26" s="271" t="s">
        <v>274</v>
      </c>
      <c r="O26" s="271" t="s">
        <v>274</v>
      </c>
      <c r="P26" s="272" t="s">
        <v>274</v>
      </c>
    </row>
    <row r="27" customFormat="false" ht="15" hidden="false" customHeight="false" outlineLevel="0" collapsed="false">
      <c r="B27" s="35"/>
      <c r="C27" s="21" t="s">
        <v>42</v>
      </c>
      <c r="D27" s="36" t="n">
        <v>3.625</v>
      </c>
      <c r="E27" s="37" t="n">
        <v>0.565</v>
      </c>
      <c r="F27" s="28" t="n">
        <v>8</v>
      </c>
      <c r="G27" s="29"/>
      <c r="H27" s="29" t="s">
        <v>43</v>
      </c>
      <c r="I27" s="41" t="n">
        <v>0.8647</v>
      </c>
      <c r="J27" s="78"/>
      <c r="K27" s="271" t="n">
        <v>47.67</v>
      </c>
      <c r="L27" s="271" t="n">
        <v>39.61</v>
      </c>
      <c r="M27" s="271" t="n">
        <v>8.065</v>
      </c>
      <c r="N27" s="271" t="n">
        <v>29</v>
      </c>
      <c r="O27" s="271" t="n">
        <v>14</v>
      </c>
      <c r="P27" s="272" t="n">
        <v>0.7852</v>
      </c>
    </row>
    <row r="28" customFormat="false" ht="15" hidden="false" customHeight="false" outlineLevel="0" collapsed="false">
      <c r="B28" s="45"/>
      <c r="C28" s="53"/>
      <c r="D28" s="54"/>
      <c r="E28" s="55"/>
      <c r="F28" s="248"/>
      <c r="G28" s="46"/>
      <c r="H28" s="46" t="s">
        <v>44</v>
      </c>
      <c r="I28" s="57" t="n">
        <v>0.2743</v>
      </c>
      <c r="J28" s="79"/>
      <c r="K28" s="273" t="n">
        <v>39.61</v>
      </c>
      <c r="L28" s="273" t="n">
        <v>18.81</v>
      </c>
      <c r="M28" s="273" t="n">
        <v>20.79</v>
      </c>
      <c r="N28" s="273" t="n">
        <v>14</v>
      </c>
      <c r="O28" s="273" t="n">
        <v>8</v>
      </c>
      <c r="P28" s="274" t="n">
        <v>1.486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MJ31"/>
  <sheetViews>
    <sheetView showFormulas="false" showGridLines="true" showRowColHeaders="true" showZeros="true" rightToLeft="false" tabSelected="false" showOutlineSymbols="true" defaultGridColor="true" view="normal" topLeftCell="A7" colorId="64" zoomScale="130" zoomScaleNormal="130" zoomScalePageLayoutView="100" workbookViewId="0">
      <selection pane="topLeft" activeCell="H8" activeCellId="0" sqref="H8"/>
    </sheetView>
  </sheetViews>
  <sheetFormatPr defaultColWidth="9.1640625" defaultRowHeight="13.8" zeroHeight="false" outlineLevelRow="0" outlineLevelCol="0"/>
  <cols>
    <col collapsed="false" customWidth="true" hidden="false" outlineLevel="0" max="2" min="2" style="0" width="12.89"/>
    <col collapsed="false" customWidth="true" hidden="false" outlineLevel="0" max="6" min="6" style="0" width="10.94"/>
  </cols>
  <sheetData>
    <row r="2" s="2" customFormat="true" ht="13.8" hidden="false" customHeight="false" outlineLevel="0" collapsed="false">
      <c r="A2" s="1" t="s">
        <v>275</v>
      </c>
      <c r="AMJ2" s="0"/>
    </row>
    <row r="4" customFormat="false" ht="13.8" hidden="false" customHeight="false" outlineLevel="0" collapsed="false">
      <c r="A4" s="4" t="s">
        <v>1</v>
      </c>
      <c r="B4" s="4" t="s">
        <v>51</v>
      </c>
      <c r="C4" s="3" t="s">
        <v>9</v>
      </c>
      <c r="D4" s="5" t="s">
        <v>215</v>
      </c>
      <c r="E4" s="3" t="s">
        <v>217</v>
      </c>
      <c r="F4" s="255"/>
    </row>
    <row r="5" customFormat="false" ht="13.8" hidden="false" customHeight="false" outlineLevel="0" collapsed="false">
      <c r="A5" s="16"/>
      <c r="B5" s="16"/>
      <c r="C5" s="11"/>
      <c r="D5" s="12"/>
      <c r="E5" s="17"/>
      <c r="F5" s="242"/>
    </row>
    <row r="6" customFormat="false" ht="13.8" hidden="false" customHeight="false" outlineLevel="0" collapsed="false">
      <c r="A6" s="29" t="s">
        <v>276</v>
      </c>
      <c r="B6" s="29" t="s">
        <v>48</v>
      </c>
      <c r="C6" s="281" t="n">
        <v>56.2</v>
      </c>
      <c r="D6" s="70" t="n">
        <v>58.8</v>
      </c>
      <c r="E6" s="81" t="n">
        <v>109</v>
      </c>
    </row>
    <row r="7" customFormat="false" ht="13.8" hidden="false" customHeight="false" outlineLevel="0" collapsed="false">
      <c r="A7" s="39"/>
      <c r="B7" s="39" t="s">
        <v>50</v>
      </c>
      <c r="C7" s="81" t="n">
        <v>58.2</v>
      </c>
      <c r="D7" s="81" t="n">
        <v>58.9</v>
      </c>
      <c r="E7" s="81" t="n">
        <v>86</v>
      </c>
    </row>
    <row r="8" customFormat="false" ht="13.8" hidden="false" customHeight="false" outlineLevel="0" collapsed="false">
      <c r="A8" s="29" t="s">
        <v>277</v>
      </c>
      <c r="B8" s="29" t="s">
        <v>238</v>
      </c>
      <c r="C8" s="282" t="n">
        <v>58.2264933538212</v>
      </c>
      <c r="D8" s="282" t="n">
        <v>58.8646997816889</v>
      </c>
      <c r="E8" s="245" t="n">
        <v>46</v>
      </c>
    </row>
    <row r="9" customFormat="false" ht="13.8" hidden="false" customHeight="false" outlineLevel="0" collapsed="false">
      <c r="A9" s="39"/>
      <c r="B9" s="39" t="s">
        <v>239</v>
      </c>
      <c r="C9" s="282" t="n">
        <v>58.371607037993</v>
      </c>
      <c r="D9" s="282" t="n">
        <v>59.2715473259109</v>
      </c>
      <c r="E9" s="245" t="n">
        <v>26</v>
      </c>
    </row>
    <row r="10" customFormat="false" ht="13.8" hidden="false" customHeight="false" outlineLevel="0" collapsed="false">
      <c r="B10" s="0" t="s">
        <v>240</v>
      </c>
      <c r="C10" s="282" t="n">
        <v>57.7120289086001</v>
      </c>
      <c r="D10" s="282" t="n">
        <v>58.6139598632138</v>
      </c>
      <c r="E10" s="245" t="n">
        <v>14</v>
      </c>
    </row>
    <row r="12" customFormat="false" ht="13.8" hidden="false" customHeight="false" outlineLevel="0" collapsed="false">
      <c r="A12" s="91" t="s">
        <v>278</v>
      </c>
      <c r="B12" s="91"/>
      <c r="C12" s="91"/>
      <c r="D12" s="91"/>
      <c r="E12" s="91"/>
      <c r="F12" s="91"/>
    </row>
    <row r="13" customFormat="false" ht="13.8" hidden="false" customHeight="false" outlineLevel="0" collapsed="false">
      <c r="A13" s="17"/>
      <c r="B13" s="18"/>
      <c r="C13" s="18"/>
      <c r="D13" s="18"/>
      <c r="E13" s="18"/>
      <c r="F13" s="19"/>
    </row>
    <row r="14" customFormat="false" ht="13.8" hidden="false" customHeight="true" outlineLevel="0" collapsed="false">
      <c r="A14" s="283" t="s">
        <v>279</v>
      </c>
      <c r="B14" s="283"/>
      <c r="C14" s="283"/>
      <c r="D14" s="283"/>
      <c r="E14" s="283"/>
      <c r="F14" s="283"/>
    </row>
    <row r="15" customFormat="false" ht="13.8" hidden="false" customHeight="true" outlineLevel="0" collapsed="false">
      <c r="A15" s="283" t="s">
        <v>280</v>
      </c>
      <c r="B15" s="283"/>
      <c r="C15" s="283"/>
      <c r="D15" s="283"/>
      <c r="E15" s="283"/>
      <c r="F15" s="283"/>
    </row>
    <row r="16" customFormat="false" ht="13.8" hidden="false" customHeight="true" outlineLevel="0" collapsed="false">
      <c r="A16" s="283" t="s">
        <v>281</v>
      </c>
      <c r="B16" s="283"/>
      <c r="C16" s="283"/>
      <c r="D16" s="283"/>
      <c r="E16" s="283"/>
      <c r="F16" s="283"/>
    </row>
    <row r="17" customFormat="false" ht="13.8" hidden="false" customHeight="false" outlineLevel="0" collapsed="false">
      <c r="A17" s="284" t="n">
        <v>-3.3688052</v>
      </c>
      <c r="B17" s="285" t="n">
        <v>-0.6245023</v>
      </c>
      <c r="C17" s="285"/>
      <c r="D17" s="285"/>
      <c r="E17" s="285"/>
      <c r="F17" s="285"/>
    </row>
    <row r="18" customFormat="false" ht="13.8" hidden="false" customHeight="true" outlineLevel="0" collapsed="false">
      <c r="A18" s="283" t="s">
        <v>282</v>
      </c>
      <c r="B18" s="283"/>
      <c r="C18" s="283"/>
      <c r="D18" s="283"/>
      <c r="E18" s="283"/>
      <c r="F18" s="285"/>
    </row>
    <row r="19" customFormat="false" ht="13.8" hidden="false" customHeight="false" outlineLevel="0" collapsed="false">
      <c r="A19" s="284" t="s">
        <v>283</v>
      </c>
      <c r="B19" s="285" t="s">
        <v>284</v>
      </c>
      <c r="C19" s="285"/>
      <c r="D19" s="285"/>
      <c r="E19" s="285"/>
      <c r="F19" s="285"/>
    </row>
    <row r="20" customFormat="false" ht="13.8" hidden="false" customHeight="false" outlineLevel="0" collapsed="false">
      <c r="A20" s="284" t="n">
        <v>56.18996</v>
      </c>
      <c r="B20" s="285" t="n">
        <v>58.18661</v>
      </c>
      <c r="C20" s="285"/>
      <c r="D20" s="285"/>
      <c r="E20" s="285"/>
      <c r="F20" s="285"/>
    </row>
    <row r="22" customFormat="false" ht="13.8" hidden="false" customHeight="false" outlineLevel="0" collapsed="false">
      <c r="A22" s="91" t="s">
        <v>285</v>
      </c>
      <c r="B22" s="91"/>
      <c r="C22" s="91"/>
      <c r="D22" s="91"/>
      <c r="E22" s="91"/>
      <c r="F22" s="91"/>
    </row>
    <row r="23" customFormat="false" ht="13.8" hidden="false" customHeight="false" outlineLevel="0" collapsed="false">
      <c r="A23" s="17" t="s">
        <v>62</v>
      </c>
      <c r="B23" s="18" t="s">
        <v>63</v>
      </c>
      <c r="C23" s="18" t="s">
        <v>64</v>
      </c>
      <c r="D23" s="18" t="s">
        <v>65</v>
      </c>
      <c r="E23" s="18" t="s">
        <v>66</v>
      </c>
      <c r="F23" s="19"/>
    </row>
    <row r="24" customFormat="false" ht="13.8" hidden="false" customHeight="false" outlineLevel="0" collapsed="false">
      <c r="A24" s="0" t="n">
        <v>2</v>
      </c>
      <c r="B24" s="0" t="n">
        <v>4.11617384400373</v>
      </c>
      <c r="C24" s="0" t="n">
        <v>2.05808692200187</v>
      </c>
      <c r="D24" s="0" t="n">
        <v>0.131808784610536</v>
      </c>
      <c r="E24" s="0" t="n">
        <v>0.876691683279403</v>
      </c>
      <c r="F24" s="0" t="s">
        <v>286</v>
      </c>
    </row>
    <row r="25" customFormat="false" ht="13.8" hidden="false" customHeight="false" outlineLevel="0" collapsed="false">
      <c r="A25" s="0" t="n">
        <v>83</v>
      </c>
      <c r="B25" s="0" t="n">
        <v>1295.97746486238</v>
      </c>
      <c r="C25" s="0" t="n">
        <v>15.6141863236432</v>
      </c>
      <c r="F25" s="0" t="s">
        <v>71</v>
      </c>
    </row>
    <row r="27" customFormat="false" ht="13.8" hidden="false" customHeight="false" outlineLevel="0" collapsed="false">
      <c r="A27" s="286" t="s">
        <v>287</v>
      </c>
      <c r="B27" s="286"/>
      <c r="C27" s="286"/>
      <c r="D27" s="286"/>
      <c r="E27" s="286"/>
      <c r="F27" s="286"/>
    </row>
    <row r="28" customFormat="false" ht="13.8" hidden="false" customHeight="false" outlineLevel="0" collapsed="false">
      <c r="A28" s="256" t="s">
        <v>245</v>
      </c>
      <c r="B28" s="257" t="s">
        <v>246</v>
      </c>
      <c r="C28" s="257" t="s">
        <v>247</v>
      </c>
      <c r="D28" s="257" t="s">
        <v>248</v>
      </c>
      <c r="E28" s="287"/>
      <c r="F28" s="242"/>
    </row>
    <row r="29" customFormat="false" ht="14.9" hidden="false" customHeight="false" outlineLevel="0" collapsed="false">
      <c r="A29" s="0" t="n">
        <v>-0.145113684171847</v>
      </c>
      <c r="B29" s="0" t="n">
        <v>-2.45886755031722</v>
      </c>
      <c r="C29" s="0" t="n">
        <v>2.16864018197352</v>
      </c>
      <c r="D29" s="0" t="n">
        <v>0.987727234670766</v>
      </c>
      <c r="E29" s="21" t="s">
        <v>288</v>
      </c>
    </row>
    <row r="30" customFormat="false" ht="14.9" hidden="false" customHeight="false" outlineLevel="0" collapsed="false">
      <c r="A30" s="0" t="n">
        <v>-0.659578129392905</v>
      </c>
      <c r="B30" s="0" t="n">
        <v>-3.78562728561104</v>
      </c>
      <c r="C30" s="0" t="n">
        <v>2.46647102682523</v>
      </c>
      <c r="D30" s="0" t="n">
        <v>0.869814179251452</v>
      </c>
      <c r="E30" s="92" t="s">
        <v>289</v>
      </c>
    </row>
    <row r="31" customFormat="false" ht="14.9" hidden="false" customHeight="false" outlineLevel="0" collapsed="false">
      <c r="A31" s="0" t="n">
        <v>-0.514464445221058</v>
      </c>
      <c r="B31" s="0" t="n">
        <v>-3.39285148508041</v>
      </c>
      <c r="C31" s="0" t="n">
        <v>2.36392259463829</v>
      </c>
      <c r="D31" s="0" t="n">
        <v>0.904703488886464</v>
      </c>
      <c r="E31" s="0" t="s">
        <v>290</v>
      </c>
    </row>
  </sheetData>
  <mergeCells count="7">
    <mergeCell ref="A12:F12"/>
    <mergeCell ref="A14:F14"/>
    <mergeCell ref="A15:F15"/>
    <mergeCell ref="A16:F16"/>
    <mergeCell ref="A18:E18"/>
    <mergeCell ref="A22:F22"/>
    <mergeCell ref="A27:F2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LibreOffice/7.3.7.2$Linux_X86_64 LibreOffice_project/30$Build-2</Application>
  <AppVersion>15.0000</AppVersion>
  <Company>IST Austria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2023-08-23T08:57:50Z</dcterms:created>
  <dc:creator>Melissa Stouffer</dc:creator>
  <dc:description/>
  <dc:language>en-GB</dc:language>
  <cp:lastModifiedBy/>
  <dcterms:modified xsi:type="dcterms:W3CDTF">2026-03-11T11:24:26Z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