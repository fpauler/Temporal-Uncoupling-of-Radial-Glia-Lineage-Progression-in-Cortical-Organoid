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igure 2" sheetId="1" state="visible" r:id="rId2"/>
    <sheet name="Figure 3" sheetId="2" state="visible" r:id="rId3"/>
    <sheet name="Extended Data" sheetId="3" state="visible" r:id="rId4"/>
    <sheet name="Data by Line" sheetId="4" state="visible" r:id="rId5"/>
    <sheet name="Figure 4" sheetId="5" state="visible" r:id="rId6"/>
    <sheet name="cortical layer marker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<sst xmlns="http://schemas.openxmlformats.org/spreadsheetml/2006/main" count="2195" uniqueCount="559">
  <si>
    <t xml:space="preserve">Figure 2</t>
  </si>
  <si>
    <t xml:space="preserve">Panel </t>
  </si>
  <si>
    <t xml:space="preserve">Clone time point</t>
  </si>
  <si>
    <t xml:space="preserve">Clone size</t>
  </si>
  <si>
    <t xml:space="preserve">No. organoids </t>
  </si>
  <si>
    <t xml:space="preserve">Statistical test </t>
  </si>
  <si>
    <t xml:space="preserve">Panel</t>
  </si>
  <si>
    <t xml:space="preserve">Number clones</t>
  </si>
  <si>
    <t xml:space="preserve">Percent of all clones</t>
  </si>
  <si>
    <t xml:space="preserve">Mean</t>
  </si>
  <si>
    <t xml:space="preserve">SEM </t>
  </si>
  <si>
    <t xml:space="preserve">No. clones</t>
  </si>
  <si>
    <t xml:space="preserve">Prolif</t>
  </si>
  <si>
    <t xml:space="preserve">Asym</t>
  </si>
  <si>
    <t xml:space="preserve">Small </t>
  </si>
  <si>
    <t xml:space="preserve">total </t>
  </si>
  <si>
    <t xml:space="preserve">SEMp</t>
  </si>
  <si>
    <t xml:space="preserve">g</t>
  </si>
  <si>
    <t xml:space="preserve">D8</t>
  </si>
  <si>
    <r>
      <rPr>
        <i val="true"/>
        <sz val="11"/>
        <color rgb="FF000000"/>
        <rFont val="Calibri"/>
        <family val="2"/>
      </rPr>
      <t xml:space="preserve">P</t>
    </r>
    <r>
      <rPr>
        <sz val="11"/>
        <color rgb="FF000000"/>
        <rFont val="Calibri"/>
        <family val="2"/>
      </rPr>
      <t xml:space="preserve"> value</t>
    </r>
  </si>
  <si>
    <t xml:space="preserve">K-W statistic</t>
  </si>
  <si>
    <t xml:space="preserve">Mean rank 1</t>
  </si>
  <si>
    <t xml:space="preserve">Mean rank 2</t>
  </si>
  <si>
    <t xml:space="preserve">Mean rank diff.</t>
  </si>
  <si>
    <t xml:space="preserve">n1</t>
  </si>
  <si>
    <t xml:space="preserve">n2</t>
  </si>
  <si>
    <t xml:space="preserve">Z</t>
  </si>
  <si>
    <t xml:space="preserve">K</t>
  </si>
  <si>
    <t xml:space="preserve">All clones</t>
  </si>
  <si>
    <t xml:space="preserve">D9</t>
  </si>
  <si>
    <t xml:space="preserve">Kruskal-Wallis test</t>
  </si>
  <si>
    <t xml:space="preserve">D8-D15</t>
  </si>
  <si>
    <t xml:space="preserve">D10</t>
  </si>
  <si>
    <t xml:space="preserve">Dunn's multiple comparisons </t>
  </si>
  <si>
    <t xml:space="preserve">D8 v D9</t>
  </si>
  <si>
    <t xml:space="preserve">&gt;0.9999</t>
  </si>
  <si>
    <t xml:space="preserve">D11</t>
  </si>
  <si>
    <t xml:space="preserve">D9 v D10</t>
  </si>
  <si>
    <t xml:space="preserve">D12</t>
  </si>
  <si>
    <t xml:space="preserve">D10 v D11</t>
  </si>
  <si>
    <t xml:space="preserve">D13</t>
  </si>
  <si>
    <t xml:space="preserve">D11 v D12</t>
  </si>
  <si>
    <t xml:space="preserve">D15</t>
  </si>
  <si>
    <t xml:space="preserve">D12 v D13</t>
  </si>
  <si>
    <t xml:space="preserve">D13 v D15</t>
  </si>
  <si>
    <t xml:space="preserve">h</t>
  </si>
  <si>
    <t xml:space="preserve">D8-D13</t>
  </si>
  <si>
    <t xml:space="preserve">I</t>
  </si>
  <si>
    <t xml:space="preserve">Asym. </t>
  </si>
  <si>
    <t xml:space="preserve">J</t>
  </si>
  <si>
    <t xml:space="preserve">Small</t>
  </si>
  <si>
    <t xml:space="preserve">Figure 3</t>
  </si>
  <si>
    <t xml:space="preserve">Clone type</t>
  </si>
  <si>
    <t xml:space="preserve">No. clones containing: </t>
  </si>
  <si>
    <t xml:space="preserve">Precent all clones</t>
  </si>
  <si>
    <t xml:space="preserve">Standard Error of Proportion</t>
  </si>
  <si>
    <t xml:space="preserve">Ctip2 only</t>
  </si>
  <si>
    <t xml:space="preserve">Satb2 only</t>
  </si>
  <si>
    <t xml:space="preserve">k (left, D8)</t>
  </si>
  <si>
    <t xml:space="preserve">Prolif. </t>
  </si>
  <si>
    <t xml:space="preserve">Note: clone data in this figure is partially included in the n and statistics of Figure 2</t>
  </si>
  <si>
    <t xml:space="preserve">k (right, D13)</t>
  </si>
  <si>
    <t xml:space="preserve">Statistical analysis and raw data see Extended Data Figure 21</t>
  </si>
  <si>
    <t xml:space="preserve">Condition</t>
  </si>
  <si>
    <t xml:space="preserve">No. clones </t>
  </si>
  <si>
    <t xml:space="preserve">Percent </t>
  </si>
  <si>
    <t xml:space="preserve">lineage restricted</t>
  </si>
  <si>
    <t xml:space="preserve">restricted</t>
  </si>
  <si>
    <t xml:space="preserve">l</t>
  </si>
  <si>
    <t xml:space="preserve">Organoid D8</t>
  </si>
  <si>
    <t xml:space="preserve">Organoid D13</t>
  </si>
  <si>
    <t xml:space="preserve">*In vivo</t>
  </si>
  <si>
    <r>
      <rPr>
        <i val="true"/>
        <sz val="11"/>
        <color rgb="FF000000"/>
        <rFont val="Calibri"/>
        <family val="2"/>
      </rPr>
      <t xml:space="preserve">*In vivo</t>
    </r>
    <r>
      <rPr>
        <sz val="11"/>
        <color rgb="FF000000"/>
        <rFont val="Calibri"/>
        <family val="2"/>
      </rPr>
      <t xml:space="preserve"> data sources: </t>
    </r>
  </si>
  <si>
    <t xml:space="preserve">Publication </t>
  </si>
  <si>
    <t xml:space="preserve">Time point</t>
  </si>
  <si>
    <t xml:space="preserve">Method of analysis </t>
  </si>
  <si>
    <t xml:space="preserve">Gao et al. (Fig. 4C)</t>
  </si>
  <si>
    <t xml:space="preserve">E10-12</t>
  </si>
  <si>
    <t xml:space="preserve">laminar position based on DAPI</t>
  </si>
  <si>
    <t xml:space="preserve">Gao et al. (Fig. S5)</t>
  </si>
  <si>
    <t xml:space="preserve">Immunostaining layer specific markers</t>
  </si>
  <si>
    <t xml:space="preserve">Llorca et al., (Fig 3D)</t>
  </si>
  <si>
    <t xml:space="preserve">E12</t>
  </si>
  <si>
    <t xml:space="preserve">Ext. Data Fig. 1</t>
  </si>
  <si>
    <t xml:space="preserve">Panels g &amp; p</t>
  </si>
  <si>
    <t xml:space="preserve">Cell Line</t>
  </si>
  <si>
    <t xml:space="preserve"># Cells w/Normal Karyotype</t>
  </si>
  <si>
    <t xml:space="preserve"># Cells w/Chr. 8 Trisomy</t>
  </si>
  <si>
    <t xml:space="preserve"># Cells w/Chr. 11 Trisomy</t>
  </si>
  <si>
    <t xml:space="preserve">A1</t>
  </si>
  <si>
    <t xml:space="preserve">A2</t>
  </si>
  <si>
    <t xml:space="preserve">B1</t>
  </si>
  <si>
    <t xml:space="preserve">B2</t>
  </si>
  <si>
    <t xml:space="preserve">Ext. Data Fig. 9</t>
  </si>
  <si>
    <t xml:space="preserve">Panels i-j</t>
  </si>
  <si>
    <t xml:space="preserve"># Cells w/41-42 Chromosomes</t>
  </si>
  <si>
    <t xml:space="preserve"># Cells w/40 Chromosomes</t>
  </si>
  <si>
    <t xml:space="preserve"># Cells w/37-39 Chromosomes</t>
  </si>
  <si>
    <t xml:space="preserve">Mean Chr. Number</t>
  </si>
  <si>
    <t xml:space="preserve">A7</t>
  </si>
  <si>
    <t xml:space="preserve">F27</t>
  </si>
  <si>
    <t xml:space="preserve">Ext. Data Fig. 10</t>
  </si>
  <si>
    <t xml:space="preserve">Panel l</t>
  </si>
  <si>
    <t xml:space="preserve">Number of cells</t>
  </si>
  <si>
    <t xml:space="preserve">MADM+PAX6+</t>
  </si>
  <si>
    <t xml:space="preserve">MADM+TBR2+</t>
  </si>
  <si>
    <t xml:space="preserve">MADM+CTIP2+</t>
  </si>
  <si>
    <t xml:space="preserve">MADM+SATB2+</t>
  </si>
  <si>
    <t xml:space="preserve">D16</t>
  </si>
  <si>
    <t xml:space="preserve">D20</t>
  </si>
  <si>
    <t xml:space="preserve">Fisher's Exact Test</t>
  </si>
  <si>
    <t xml:space="preserve">pvalue</t>
  </si>
  <si>
    <t xml:space="preserve">padj (Bonferroni)</t>
  </si>
  <si>
    <t xml:space="preserve">D10-D13</t>
  </si>
  <si>
    <t xml:space="preserve">D13-D16</t>
  </si>
  <si>
    <t xml:space="preserve">D16-D20</t>
  </si>
  <si>
    <t xml:space="preserve">All 2-way comparisons, Fisher's Exact Test</t>
  </si>
  <si>
    <t xml:space="preserve">type</t>
  </si>
  <si>
    <t xml:space="preserve">comparison</t>
  </si>
  <si>
    <t xml:space="preserve">SATB2</t>
  </si>
  <si>
    <t xml:space="preserve">D13_vs_D20</t>
  </si>
  <si>
    <t xml:space="preserve">PAX6</t>
  </si>
  <si>
    <t xml:space="preserve">TBR2</t>
  </si>
  <si>
    <t xml:space="preserve">D13_vs_D16</t>
  </si>
  <si>
    <t xml:space="preserve">D16_vs_D20</t>
  </si>
  <si>
    <t xml:space="preserve">CTIP2</t>
  </si>
  <si>
    <t xml:space="preserve">D10_vs_D16</t>
  </si>
  <si>
    <t xml:space="preserve">D10_vs_D20</t>
  </si>
  <si>
    <t xml:space="preserve">D10_vs_D13</t>
  </si>
  <si>
    <t xml:space="preserve">Ext. Data Fig. 11</t>
  </si>
  <si>
    <t xml:space="preserve">Time point D10 </t>
  </si>
  <si>
    <t xml:space="preserve">% CASP+MADM+/MADM+ cells</t>
  </si>
  <si>
    <t xml:space="preserve">No. organoids</t>
  </si>
  <si>
    <t xml:space="preserve">Batch 1</t>
  </si>
  <si>
    <t xml:space="preserve">Batch 2</t>
  </si>
  <si>
    <t xml:space="preserve">Batch 3</t>
  </si>
  <si>
    <t xml:space="preserve">Time point D13 </t>
  </si>
  <si>
    <t xml:space="preserve">Time point D16 </t>
  </si>
  <si>
    <t xml:space="preserve">MADM+</t>
  </si>
  <si>
    <t xml:space="preserve">MADM+CASPASE+</t>
  </si>
  <si>
    <t xml:space="preserve">% of cells</t>
  </si>
  <si>
    <t xml:space="preserve">Upper 95% CI</t>
  </si>
  <si>
    <t xml:space="preserve">Lower 95% CI</t>
  </si>
  <si>
    <t xml:space="preserve">r</t>
  </si>
  <si>
    <t xml:space="preserve">Center</t>
  </si>
  <si>
    <t xml:space="preserve">Periphery</t>
  </si>
  <si>
    <t xml:space="preserve">s</t>
  </si>
  <si>
    <t xml:space="preserve">Ext. Data Fig. 12</t>
  </si>
  <si>
    <t xml:space="preserve">j</t>
  </si>
  <si>
    <t xml:space="preserve">5C</t>
  </si>
  <si>
    <t xml:space="preserve">2A</t>
  </si>
  <si>
    <t xml:space="preserve">3A</t>
  </si>
  <si>
    <t xml:space="preserve">Ext. Data Fig. 14</t>
  </si>
  <si>
    <t xml:space="preserve">No. brains</t>
  </si>
  <si>
    <t xml:space="preserve">b</t>
  </si>
  <si>
    <t xml:space="preserve">E10-21</t>
  </si>
  <si>
    <t xml:space="preserve">Fraction of all clones</t>
  </si>
  <si>
    <t xml:space="preserve">Upper 95%CI</t>
  </si>
  <si>
    <t xml:space="preserve">c</t>
  </si>
  <si>
    <t xml:space="preserve">Data related to Figure 2</t>
  </si>
  <si>
    <t xml:space="preserve">Ext. Data Fig. 15</t>
  </si>
  <si>
    <t xml:space="preserve">Clone induction time point</t>
  </si>
  <si>
    <t xml:space="preserve">Subclone ratio </t>
  </si>
  <si>
    <t xml:space="preserve">Ext. Data Fig. 16</t>
  </si>
  <si>
    <t xml:space="preserve">Raw data</t>
  </si>
  <si>
    <t xml:space="preserve">batch </t>
  </si>
  <si>
    <t xml:space="preserve">clone type</t>
  </si>
  <si>
    <t xml:space="preserve">counts</t>
  </si>
  <si>
    <t xml:space="preserve">Batch 4</t>
  </si>
  <si>
    <t xml:space="preserve">Asymmetric</t>
  </si>
  <si>
    <t xml:space="preserve">ANOVA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</si>
  <si>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</si>
  <si>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</si>
  <si>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</si>
  <si>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</si>
  <si>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</si>
  <si>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age        </t>
  </si>
  <si>
    <t xml:space="preserve">batch      </t>
  </si>
  <si>
    <t xml:space="preserve">age:batch  </t>
  </si>
  <si>
    <t xml:space="preserve">NA</t>
  </si>
  <si>
    <t xml:space="preserve">Residuals  </t>
  </si>
  <si>
    <t xml:space="preserve">Proliferative</t>
  </si>
  <si>
    <t xml:space="preserve">Tukey HSD</t>
  </si>
  <si>
    <t xml:space="preserve">Note only comparisons with padj &lt; 0.1 are shown</t>
  </si>
  <si>
    <t xml:space="preserve">diff</t>
  </si>
  <si>
    <t xml:space="preserve">lwr</t>
  </si>
  <si>
    <t xml:space="preserve">upr</t>
  </si>
  <si>
    <t xml:space="preserve">p adj</t>
  </si>
  <si>
    <t xml:space="preserve">D8:Batch 3-D12:Batch 1</t>
  </si>
  <si>
    <t xml:space="preserve">D8:Batch 3-D13:Batch 1</t>
  </si>
  <si>
    <t xml:space="preserve">D8:Batch 3-D8:Batch 1</t>
  </si>
  <si>
    <t xml:space="preserve">D10:Batch 3-D8:Batch 3</t>
  </si>
  <si>
    <t xml:space="preserve">D8:Batch 3-D13:Batch 2</t>
  </si>
  <si>
    <t xml:space="preserve">D8:Batch 3-D9:Batch 2</t>
  </si>
  <si>
    <t xml:space="preserve">D8:Batch 3-D10:Batch 2</t>
  </si>
  <si>
    <t xml:space="preserve">D13:Batch 3-D8:Batch 3</t>
  </si>
  <si>
    <t xml:space="preserve">D8:Batch 4-D8:Batch 3</t>
  </si>
  <si>
    <t xml:space="preserve">D11:Batch 3-D8:Batch 3</t>
  </si>
  <si>
    <r>
      <rPr>
        <sz val="11"/>
        <color rgb="FF000000"/>
        <rFont val="Calibri"/>
        <family val="2"/>
      </rPr>
      <t xml:space="preserve">D-E: </t>
    </r>
    <r>
      <rPr>
        <i val="true"/>
        <sz val="11"/>
        <color rgb="FF000000"/>
        <rFont val="Calibri"/>
        <family val="2"/>
      </rPr>
      <t xml:space="preserve">Data related to Figure 2</t>
    </r>
  </si>
  <si>
    <t xml:space="preserve">Ext. Data Fig. 17</t>
  </si>
  <si>
    <t xml:space="preserve">k</t>
  </si>
  <si>
    <t xml:space="preserve">D10-D15</t>
  </si>
  <si>
    <t xml:space="preserve">m</t>
  </si>
  <si>
    <t xml:space="preserve">D11-D15</t>
  </si>
  <si>
    <t xml:space="preserve">D8-D20</t>
  </si>
  <si>
    <t xml:space="preserve">NOTE: same data as for Fig2!</t>
  </si>
  <si>
    <t xml:space="preserve">D10-D20</t>
  </si>
  <si>
    <t xml:space="preserve">D11-D20</t>
  </si>
  <si>
    <r>
      <rPr>
        <sz val="11"/>
        <color rgb="FF000000"/>
        <rFont val="Calibri"/>
        <family val="2"/>
      </rPr>
      <t xml:space="preserve">D20: </t>
    </r>
    <r>
      <rPr>
        <i val="true"/>
        <sz val="11"/>
        <color rgb="FF000000"/>
        <rFont val="Calibri"/>
        <family val="2"/>
      </rPr>
      <t xml:space="preserve">Data related to Figure 2</t>
    </r>
  </si>
  <si>
    <t xml:space="preserve">fisher_pvalue</t>
  </si>
  <si>
    <t xml:space="preserve">fisher_padj</t>
  </si>
  <si>
    <t xml:space="preserve">Prolif D8</t>
  </si>
  <si>
    <t xml:space="preserve">Asym D8</t>
  </si>
  <si>
    <t xml:space="preserve">Small D8</t>
  </si>
  <si>
    <t xml:space="preserve">Prolif D10</t>
  </si>
  <si>
    <t xml:space="preserve">Asym D10</t>
  </si>
  <si>
    <t xml:space="preserve">Small D10</t>
  </si>
  <si>
    <t xml:space="preserve">Prolif D11</t>
  </si>
  <si>
    <t xml:space="preserve">Asym D11</t>
  </si>
  <si>
    <t xml:space="preserve">Small D11</t>
  </si>
  <si>
    <t xml:space="preserve">Ext. Data Fig. 18</t>
  </si>
  <si>
    <t xml:space="preserve">Asymmetric Neurogenic</t>
  </si>
  <si>
    <t xml:space="preserve">Small Neurogenic</t>
  </si>
  <si>
    <t xml:space="preserve">SEM</t>
  </si>
  <si>
    <t xml:space="preserve">No. Clones</t>
  </si>
  <si>
    <t xml:space="preserve">Ext. Data Fig. 19</t>
  </si>
  <si>
    <t xml:space="preserve">Sphericity Mean</t>
  </si>
  <si>
    <t xml:space="preserve">Mean No. of Clones</t>
  </si>
  <si>
    <t xml:space="preserve">Pearson Correlation P-Value</t>
  </si>
  <si>
    <t xml:space="preserve">No. of Clone Types</t>
  </si>
  <si>
    <t xml:space="preserve">Mean Volume</t>
  </si>
  <si>
    <t xml:space="preserve">Dunn's multiple comparisons test</t>
  </si>
  <si>
    <t xml:space="preserve">Summary</t>
  </si>
  <si>
    <t xml:space="preserve">Adjusted P Value</t>
  </si>
  <si>
    <t xml:space="preserve">d</t>
  </si>
  <si>
    <t xml:space="preserve">1 vs. 2</t>
  </si>
  <si>
    <t xml:space="preserve">ns</t>
  </si>
  <si>
    <t xml:space="preserve">1 vs. 3</t>
  </si>
  <si>
    <t xml:space="preserve">2 vs. 3</t>
  </si>
  <si>
    <t xml:space="preserve">1</t>
  </si>
  <si>
    <t xml:space="preserve">2</t>
  </si>
  <si>
    <t xml:space="preserve">3</t>
  </si>
  <si>
    <t xml:space="preserve">Fraction</t>
  </si>
  <si>
    <t xml:space="preserve">e</t>
  </si>
  <si>
    <t xml:space="preserve">Ext. Data Fig. 20</t>
  </si>
  <si>
    <t xml:space="preserve">Sample</t>
  </si>
  <si>
    <t xml:space="preserve">w/Glia</t>
  </si>
  <si>
    <t xml:space="preserve">No Glia</t>
  </si>
  <si>
    <r>
      <rPr>
        <sz val="11"/>
        <color rgb="FF000000"/>
        <rFont val="Calibri"/>
        <family val="2"/>
      </rPr>
      <t xml:space="preserve">*</t>
    </r>
    <r>
      <rPr>
        <i val="true"/>
        <sz val="11"/>
        <color rgb="FF000000"/>
        <rFont val="Calibri"/>
        <family val="2"/>
      </rPr>
      <t xml:space="preserve">In vivo</t>
    </r>
    <r>
      <rPr>
        <sz val="11"/>
        <color rgb="FF000000"/>
        <rFont val="Calibri"/>
        <family val="2"/>
      </rPr>
      <t xml:space="preserve"> data sources: </t>
    </r>
  </si>
  <si>
    <t xml:space="preserve">D8-20</t>
  </si>
  <si>
    <t xml:space="preserve">D8-25</t>
  </si>
  <si>
    <t xml:space="preserve">Gao et al. (Fig. 7C)</t>
  </si>
  <si>
    <t xml:space="preserve">in vivo*</t>
  </si>
  <si>
    <t xml:space="preserve">Fisher's Exact Test (d)</t>
  </si>
  <si>
    <t xml:space="preserve">D8-20_vs_D8-25</t>
  </si>
  <si>
    <t xml:space="preserve">D8-20_vs_in vivo</t>
  </si>
  <si>
    <t xml:space="preserve">D8-25_vs_in vivo</t>
  </si>
  <si>
    <t xml:space="preserve">Fisher's Exact Test (e)</t>
  </si>
  <si>
    <t xml:space="preserve">D8-20_vs_In vivo</t>
  </si>
  <si>
    <t xml:space="preserve">D8-25_vs_In vivo</t>
  </si>
  <si>
    <t xml:space="preserve">Ext. Data Fig. 21</t>
  </si>
  <si>
    <t xml:space="preserve">a</t>
  </si>
  <si>
    <t xml:space="preserve">Batch 1 Proliferative</t>
  </si>
  <si>
    <t xml:space="preserve">Number</t>
  </si>
  <si>
    <t xml:space="preserve">B</t>
  </si>
  <si>
    <t xml:space="preserve">Total Clones</t>
  </si>
  <si>
    <t xml:space="preserve">SATB2 Only</t>
  </si>
  <si>
    <t xml:space="preserve">CTIP2 Only</t>
  </si>
  <si>
    <t xml:space="preserve">Batch 2 Proliferative</t>
  </si>
  <si>
    <t xml:space="preserve">Batch 3 Proliferative</t>
  </si>
  <si>
    <t xml:space="preserve">Batch 1 Asym</t>
  </si>
  <si>
    <t xml:space="preserve">Batch 4 Proliferative</t>
  </si>
  <si>
    <t xml:space="preserve">Batch 2 Asym</t>
  </si>
  <si>
    <t xml:space="preserve">Batch 3 Asym</t>
  </si>
  <si>
    <t xml:space="preserve">Batch 1 Small N.</t>
  </si>
  <si>
    <t xml:space="preserve">Batch 2 Small N.</t>
  </si>
  <si>
    <t xml:space="preserve">Batch 4 Asym</t>
  </si>
  <si>
    <t xml:space="preserve">Batch 1 Small N</t>
  </si>
  <si>
    <t xml:space="preserve">Batch 3 Small N.</t>
  </si>
  <si>
    <t xml:space="preserve">Batch 2 Small N</t>
  </si>
  <si>
    <t xml:space="preserve">Batch 3 Small N</t>
  </si>
  <si>
    <t xml:space="preserve">Batch 4 Small N</t>
  </si>
  <si>
    <t xml:space="preserve">ANOVA (a)</t>
  </si>
  <si>
    <t xml:space="preserve">SATB2/CTIP2 Only</t>
  </si>
  <si>
    <t xml:space="preserve">clone_type      </t>
  </si>
  <si>
    <t xml:space="preserve">SATB2/CTIP2 Only:clone_type</t>
  </si>
  <si>
    <t xml:space="preserve">Residuals       </t>
  </si>
  <si>
    <t xml:space="preserve">ANOVA (b)</t>
  </si>
  <si>
    <t xml:space="preserve">Ext. Data Fig. 23 </t>
  </si>
  <si>
    <t xml:space="preserve">Median</t>
  </si>
  <si>
    <t xml:space="preserve">group</t>
  </si>
  <si>
    <t xml:space="preserve"># cells</t>
  </si>
  <si>
    <t xml:space="preserve">inter</t>
  </si>
  <si>
    <t xml:space="preserve">intra</t>
  </si>
  <si>
    <t xml:space="preserve">p_val</t>
  </si>
  <si>
    <t xml:space="preserve">p_val_adj</t>
  </si>
  <si>
    <t xml:space="preserve">avg_log2FC</t>
  </si>
  <si>
    <t xml:space="preserve">Foxp2</t>
  </si>
  <si>
    <t xml:space="preserve">Sox5</t>
  </si>
  <si>
    <t xml:space="preserve">Bcl11b</t>
  </si>
  <si>
    <t xml:space="preserve">Pou3f3</t>
  </si>
  <si>
    <t xml:space="preserve">Satb2</t>
  </si>
  <si>
    <t xml:space="preserve">Cux2</t>
  </si>
  <si>
    <t xml:space="preserve">Layer distr.</t>
  </si>
  <si>
    <t xml:space="preserve"># clones</t>
  </si>
  <si>
    <t xml:space="preserve">fraction</t>
  </si>
  <si>
    <t xml:space="preserve">95% CI</t>
  </si>
  <si>
    <t xml:space="preserve">Upper</t>
  </si>
  <si>
    <t xml:space="preserve">Lower</t>
  </si>
  <si>
    <t xml:space="preserve">Translaminar</t>
  </si>
  <si>
    <t xml:space="preserve">DL restr</t>
  </si>
  <si>
    <t xml:space="preserve">UL restr</t>
  </si>
  <si>
    <t xml:space="preserve">(b) ANOVA</t>
  </si>
  <si>
    <t xml:space="preserve">Clone type:group</t>
  </si>
  <si>
    <t xml:space="preserve">(b) Tukey Honest Significant Differences</t>
  </si>
  <si>
    <t xml:space="preserve">Small:inter-Asym:inter</t>
  </si>
  <si>
    <t xml:space="preserve">Asym:intra-Asym:inter</t>
  </si>
  <si>
    <t xml:space="preserve">Small:intra-Asym:inter</t>
  </si>
  <si>
    <t xml:space="preserve">Asym:intra-Small:inter</t>
  </si>
  <si>
    <t xml:space="preserve">Small:intra-Small:inter</t>
  </si>
  <si>
    <t xml:space="preserve">Small:intra-Asym:intra</t>
  </si>
  <si>
    <t xml:space="preserve">(d) Chi Square Asym</t>
  </si>
  <si>
    <t xml:space="preserve">Data:</t>
  </si>
  <si>
    <t xml:space="preserve">UL restr / SATB2 only</t>
  </si>
  <si>
    <t xml:space="preserve">DL restr / CTIP2 only</t>
  </si>
  <si>
    <t xml:space="preserve">other</t>
  </si>
  <si>
    <t xml:space="preserve">in vivo</t>
  </si>
  <si>
    <t xml:space="preserve">from Ext. Figure 20b</t>
  </si>
  <si>
    <t xml:space="preserve">in vitro</t>
  </si>
  <si>
    <t xml:space="preserve">Test of Independence (Chi-Square)</t>
  </si>
  <si>
    <t xml:space="preserve">Alpha</t>
  </si>
  <si>
    <t xml:space="preserve">df</t>
  </si>
  <si>
    <t xml:space="preserve">P-value</t>
  </si>
  <si>
    <t xml:space="preserve">Test Statistic</t>
  </si>
  <si>
    <t xml:space="preserve">Critical Value</t>
  </si>
  <si>
    <t xml:space="preserve">(d) Chi Square Small</t>
  </si>
  <si>
    <t xml:space="preserve">(e) ANOVA</t>
  </si>
  <si>
    <t xml:space="preserve">Layer distr</t>
  </si>
  <si>
    <t xml:space="preserve">Layer distr:Clone type</t>
  </si>
  <si>
    <t xml:space="preserve">&lt;0.0001</t>
  </si>
  <si>
    <t xml:space="preserve">-</t>
  </si>
  <si>
    <t xml:space="preserve">Figure 4</t>
  </si>
  <si>
    <t xml:space="preserve">(g) Welch Two Sample t-test</t>
  </si>
  <si>
    <t xml:space="preserve">t = -2.8704, df = 188.93, p-value = 0.004567</t>
  </si>
  <si>
    <t xml:space="preserve">alternative hypothesis: true difference in means is not equal to 0</t>
  </si>
  <si>
    <t xml:space="preserve">95 percent confidence interval:</t>
  </si>
  <si>
    <t xml:space="preserve">sample estimates:</t>
  </si>
  <si>
    <t xml:space="preserve">mean of x</t>
  </si>
  <si>
    <t xml:space="preserve">mean of y </t>
  </si>
  <si>
    <t xml:space="preserve">(h) ANOVA</t>
  </si>
  <si>
    <t xml:space="preserve">Clone Type</t>
  </si>
  <si>
    <t xml:space="preserve">Residuals</t>
  </si>
  <si>
    <t xml:space="preserve">(h) Tukey Honest Significant Differences</t>
  </si>
  <si>
    <t xml:space="preserve">Translaminar : DL restr</t>
  </si>
  <si>
    <t xml:space="preserve">UL restr : DL restr</t>
  </si>
  <si>
    <t xml:space="preserve">UL restr : Translaminar</t>
  </si>
  <si>
    <t xml:space="preserve">Upper layer markers</t>
  </si>
  <si>
    <t xml:space="preserve">Deep layer markers</t>
  </si>
  <si>
    <t xml:space="preserve">gene</t>
  </si>
  <si>
    <t xml:space="preserve">Organoid foldChange</t>
  </si>
  <si>
    <t xml:space="preserve">Organoid padj</t>
  </si>
  <si>
    <t xml:space="preserve">Reference foldChange</t>
  </si>
  <si>
    <t xml:space="preserve">Reference padj</t>
  </si>
  <si>
    <t xml:space="preserve">Tec</t>
  </si>
  <si>
    <t xml:space="preserve">Ngfr</t>
  </si>
  <si>
    <t xml:space="preserve">Kcnj2</t>
  </si>
  <si>
    <t xml:space="preserve">Lhx9</t>
  </si>
  <si>
    <t xml:space="preserve">Dclk3</t>
  </si>
  <si>
    <t xml:space="preserve">Zfp521</t>
  </si>
  <si>
    <t xml:space="preserve">Inhba</t>
  </si>
  <si>
    <t xml:space="preserve">St18</t>
  </si>
  <si>
    <t xml:space="preserve">Frem2</t>
  </si>
  <si>
    <t xml:space="preserve">Hs3st4</t>
  </si>
  <si>
    <t xml:space="preserve">Fam19a2</t>
  </si>
  <si>
    <t xml:space="preserve">Nxph3</t>
  </si>
  <si>
    <t xml:space="preserve">Crym</t>
  </si>
  <si>
    <t xml:space="preserve">Cldn1</t>
  </si>
  <si>
    <t xml:space="preserve">Grm2</t>
  </si>
  <si>
    <t xml:space="preserve">Nhlh1</t>
  </si>
  <si>
    <t xml:space="preserve">Kif26b</t>
  </si>
  <si>
    <t xml:space="preserve">Tle4</t>
  </si>
  <si>
    <t xml:space="preserve">Tshr</t>
  </si>
  <si>
    <t xml:space="preserve">Dmrt3</t>
  </si>
  <si>
    <t xml:space="preserve">Klhl4</t>
  </si>
  <si>
    <t xml:space="preserve">Nxph4</t>
  </si>
  <si>
    <t xml:space="preserve">Unc5c</t>
  </si>
  <si>
    <t xml:space="preserve">Tmem132c</t>
  </si>
  <si>
    <t xml:space="preserve">Grin2a</t>
  </si>
  <si>
    <t xml:space="preserve">Mgll</t>
  </si>
  <si>
    <t xml:space="preserve">Smad3</t>
  </si>
  <si>
    <t xml:space="preserve">Ttc39b</t>
  </si>
  <si>
    <t xml:space="preserve">Fstl4</t>
  </si>
  <si>
    <t xml:space="preserve">Tmem176b</t>
  </si>
  <si>
    <t xml:space="preserve">Cux1</t>
  </si>
  <si>
    <t xml:space="preserve">Zfpm2</t>
  </si>
  <si>
    <t xml:space="preserve">Scg2</t>
  </si>
  <si>
    <t xml:space="preserve">Igfbp3</t>
  </si>
  <si>
    <t xml:space="preserve">Ptn</t>
  </si>
  <si>
    <t xml:space="preserve">Nell1</t>
  </si>
  <si>
    <t xml:space="preserve">Fezf2</t>
  </si>
  <si>
    <t xml:space="preserve">Myh7</t>
  </si>
  <si>
    <t xml:space="preserve">Npr3</t>
  </si>
  <si>
    <t xml:space="preserve">Bcl6</t>
  </si>
  <si>
    <t xml:space="preserve">Fsip1</t>
  </si>
  <si>
    <t xml:space="preserve">Kcnf1</t>
  </si>
  <si>
    <t xml:space="preserve">Fgf18</t>
  </si>
  <si>
    <t xml:space="preserve">Gpc5</t>
  </si>
  <si>
    <t xml:space="preserve">Podn</t>
  </si>
  <si>
    <t xml:space="preserve">Sv2c</t>
  </si>
  <si>
    <t xml:space="preserve">Grik3</t>
  </si>
  <si>
    <t xml:space="preserve">Pcdh20</t>
  </si>
  <si>
    <t xml:space="preserve">Lef1</t>
  </si>
  <si>
    <t xml:space="preserve">Fn1</t>
  </si>
  <si>
    <t xml:space="preserve">Gsg1l</t>
  </si>
  <si>
    <t xml:space="preserve">Ptprk</t>
  </si>
  <si>
    <t xml:space="preserve">Rprml</t>
  </si>
  <si>
    <t xml:space="preserve">Fat1</t>
  </si>
  <si>
    <t xml:space="preserve">Cyr61</t>
  </si>
  <si>
    <t xml:space="preserve">Man1a</t>
  </si>
  <si>
    <t xml:space="preserve">Lrrtm4</t>
  </si>
  <si>
    <t xml:space="preserve">Adamts2</t>
  </si>
  <si>
    <t xml:space="preserve">Dmrt2</t>
  </si>
  <si>
    <t xml:space="preserve">Ajap1</t>
  </si>
  <si>
    <t xml:space="preserve">Rcan3</t>
  </si>
  <si>
    <t xml:space="preserve">Bhlhe40</t>
  </si>
  <si>
    <t xml:space="preserve">Pcsk5</t>
  </si>
  <si>
    <t xml:space="preserve">Crlf1</t>
  </si>
  <si>
    <t xml:space="preserve">Cabp7</t>
  </si>
  <si>
    <t xml:space="preserve">Cdh12</t>
  </si>
  <si>
    <t xml:space="preserve">Cdh7</t>
  </si>
  <si>
    <t xml:space="preserve">Luzp2</t>
  </si>
  <si>
    <t xml:space="preserve">Cdc14b</t>
  </si>
  <si>
    <t xml:space="preserve">Egr2</t>
  </si>
  <si>
    <t xml:space="preserve">Rgs16</t>
  </si>
  <si>
    <t xml:space="preserve">Mapk15</t>
  </si>
  <si>
    <t xml:space="preserve">Dach1</t>
  </si>
  <si>
    <t xml:space="preserve">Limch1</t>
  </si>
  <si>
    <t xml:space="preserve">Drd1</t>
  </si>
  <si>
    <t xml:space="preserve">Rbms1</t>
  </si>
  <si>
    <t xml:space="preserve">Dpf3</t>
  </si>
  <si>
    <t xml:space="preserve">Eif1b</t>
  </si>
  <si>
    <t xml:space="preserve">Bmp3</t>
  </si>
  <si>
    <t xml:space="preserve">Arhgap28</t>
  </si>
  <si>
    <t xml:space="preserve">Tmem163</t>
  </si>
  <si>
    <t xml:space="preserve">Lhfp</t>
  </si>
  <si>
    <t xml:space="preserve">Abca8a</t>
  </si>
  <si>
    <t xml:space="preserve">Trpc4</t>
  </si>
  <si>
    <t xml:space="preserve">Magel2</t>
  </si>
  <si>
    <t xml:space="preserve">Fgf9</t>
  </si>
  <si>
    <t xml:space="preserve">Ddah1</t>
  </si>
  <si>
    <t xml:space="preserve">Lrfn2</t>
  </si>
  <si>
    <t xml:space="preserve">Nfia</t>
  </si>
  <si>
    <t xml:space="preserve">Slc17a6</t>
  </si>
  <si>
    <t xml:space="preserve">Cxxc5</t>
  </si>
  <si>
    <t xml:space="preserve">Plxna4</t>
  </si>
  <si>
    <t xml:space="preserve">Ildr2</t>
  </si>
  <si>
    <t xml:space="preserve">Kcnmb2</t>
  </si>
  <si>
    <t xml:space="preserve">Kctd8</t>
  </si>
  <si>
    <t xml:space="preserve">Prr16</t>
  </si>
  <si>
    <t xml:space="preserve">Nptx1</t>
  </si>
  <si>
    <t xml:space="preserve">Itgb8</t>
  </si>
  <si>
    <t xml:space="preserve">Rspo3</t>
  </si>
  <si>
    <t xml:space="preserve">Ptx3</t>
  </si>
  <si>
    <t xml:space="preserve">Chst8</t>
  </si>
  <si>
    <t xml:space="preserve">Tmem229a</t>
  </si>
  <si>
    <t xml:space="preserve">Rasgef1b</t>
  </si>
  <si>
    <t xml:space="preserve">Smtnl2</t>
  </si>
  <si>
    <t xml:space="preserve">Gabrd</t>
  </si>
  <si>
    <t xml:space="preserve">Pdgfa</t>
  </si>
  <si>
    <t xml:space="preserve">Lgi1</t>
  </si>
  <si>
    <t xml:space="preserve">Arid5b</t>
  </si>
  <si>
    <t xml:space="preserve">Rnd2</t>
  </si>
  <si>
    <t xml:space="preserve">Rgs3</t>
  </si>
  <si>
    <t xml:space="preserve">Ncam2</t>
  </si>
  <si>
    <t xml:space="preserve">Podxl</t>
  </si>
  <si>
    <t xml:space="preserve">Crabp1</t>
  </si>
  <si>
    <t xml:space="preserve">Kcns1</t>
  </si>
  <si>
    <t xml:space="preserve">Prune2</t>
  </si>
  <si>
    <t xml:space="preserve">Plxdc2</t>
  </si>
  <si>
    <t xml:space="preserve">Adamts18</t>
  </si>
  <si>
    <t xml:space="preserve">Rnase4</t>
  </si>
  <si>
    <t xml:space="preserve">Rgs4</t>
  </si>
  <si>
    <t xml:space="preserve">Klf2</t>
  </si>
  <si>
    <t xml:space="preserve">Galnt9</t>
  </si>
  <si>
    <t xml:space="preserve">Zbtb20</t>
  </si>
  <si>
    <t xml:space="preserve">Cmtm7</t>
  </si>
  <si>
    <t xml:space="preserve">Dtx4</t>
  </si>
  <si>
    <t xml:space="preserve">Ier5</t>
  </si>
  <si>
    <t xml:space="preserve">Cdh20</t>
  </si>
  <si>
    <t xml:space="preserve">Skap2</t>
  </si>
  <si>
    <t xml:space="preserve">Snx7</t>
  </si>
  <si>
    <t xml:space="preserve">Col19a1</t>
  </si>
  <si>
    <t xml:space="preserve">Metrnl</t>
  </si>
  <si>
    <t xml:space="preserve">Cdh9</t>
  </si>
  <si>
    <t xml:space="preserve">Zfhx4</t>
  </si>
  <si>
    <t xml:space="preserve">Pde1a</t>
  </si>
  <si>
    <t xml:space="preserve">Ccbe1</t>
  </si>
  <si>
    <t xml:space="preserve">Adamts17</t>
  </si>
  <si>
    <t xml:space="preserve">Slc35f4</t>
  </si>
  <si>
    <t xml:space="preserve">Eomes</t>
  </si>
  <si>
    <t xml:space="preserve">Gpr158</t>
  </si>
  <si>
    <t xml:space="preserve">Gstk1</t>
  </si>
  <si>
    <t xml:space="preserve">Cntnap5c</t>
  </si>
  <si>
    <t xml:space="preserve">Pdzd2</t>
  </si>
  <si>
    <t xml:space="preserve">St6gal2</t>
  </si>
  <si>
    <t xml:space="preserve">Fxyd7</t>
  </si>
  <si>
    <t xml:space="preserve">Rerg</t>
  </si>
  <si>
    <t xml:space="preserve">Parm1</t>
  </si>
  <si>
    <t xml:space="preserve">Csmd1</t>
  </si>
  <si>
    <t xml:space="preserve">Prex2</t>
  </si>
  <si>
    <t xml:space="preserve">Zhx1</t>
  </si>
  <si>
    <t xml:space="preserve">Ppp1r14a</t>
  </si>
  <si>
    <t xml:space="preserve">Btbd11</t>
  </si>
  <si>
    <t xml:space="preserve">Reln</t>
  </si>
  <si>
    <t xml:space="preserve">Osbpl6</t>
  </si>
  <si>
    <t xml:space="preserve">Nfe2l3</t>
  </si>
  <si>
    <t xml:space="preserve">Slc6a11</t>
  </si>
  <si>
    <t xml:space="preserve">Nab1</t>
  </si>
  <si>
    <t xml:space="preserve">Sh3rf3</t>
  </si>
  <si>
    <t xml:space="preserve">Tshz3</t>
  </si>
  <si>
    <t xml:space="preserve">Thsd7a</t>
  </si>
  <si>
    <t xml:space="preserve">Cdh18</t>
  </si>
  <si>
    <t xml:space="preserve">B3gnt9</t>
  </si>
  <si>
    <t xml:space="preserve">Wdr66</t>
  </si>
  <si>
    <t xml:space="preserve">Pou3f2</t>
  </si>
  <si>
    <t xml:space="preserve">Chd7</t>
  </si>
  <si>
    <t xml:space="preserve">Pdzrn4</t>
  </si>
  <si>
    <t xml:space="preserve">Rgs8</t>
  </si>
  <si>
    <t xml:space="preserve">Larp6</t>
  </si>
  <si>
    <t xml:space="preserve">Ccnd2</t>
  </si>
  <si>
    <t xml:space="preserve">Kcnip4</t>
  </si>
  <si>
    <t xml:space="preserve">Tgfb2</t>
  </si>
  <si>
    <t xml:space="preserve">Vstm2l</t>
  </si>
  <si>
    <t xml:space="preserve">Dach2</t>
  </si>
  <si>
    <t xml:space="preserve">Peli2</t>
  </si>
  <si>
    <t xml:space="preserve">Yap1</t>
  </si>
  <si>
    <t xml:space="preserve">Aard</t>
  </si>
  <si>
    <t xml:space="preserve">Foxo6</t>
  </si>
  <si>
    <t xml:space="preserve">Tunar</t>
  </si>
  <si>
    <t xml:space="preserve">Ucp2</t>
  </si>
  <si>
    <t xml:space="preserve">Bmpr1b</t>
  </si>
  <si>
    <t xml:space="preserve">Pwwp2b</t>
  </si>
  <si>
    <t xml:space="preserve">Sergef</t>
  </si>
  <si>
    <t xml:space="preserve">Nxn</t>
  </si>
  <si>
    <t xml:space="preserve">Akr1b3</t>
  </si>
  <si>
    <t xml:space="preserve">Slc44a5</t>
  </si>
  <si>
    <t xml:space="preserve">Prkar1b</t>
  </si>
  <si>
    <t xml:space="preserve">Klhl14</t>
  </si>
  <si>
    <t xml:space="preserve">Slc15a2</t>
  </si>
  <si>
    <t xml:space="preserve">Dok5</t>
  </si>
  <si>
    <t xml:space="preserve">Nde1</t>
  </si>
  <si>
    <t xml:space="preserve">Syt4</t>
  </si>
  <si>
    <t xml:space="preserve">Vcan</t>
  </si>
  <si>
    <t xml:space="preserve">Tnr</t>
  </si>
  <si>
    <t xml:space="preserve">Zfp516</t>
  </si>
  <si>
    <t xml:space="preserve">Il1rapl2</t>
  </si>
  <si>
    <t xml:space="preserve">Mgat4c</t>
  </si>
  <si>
    <t xml:space="preserve">Fam84a</t>
  </si>
  <si>
    <t xml:space="preserve">Tcerg1l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</si>
</sst>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"/>
    <numFmt numFmtId="167" formatCode="0.00"/>
    <numFmt numFmtId="168" formatCode="0.0000"/>
    <numFmt numFmtId="169" formatCode="0.000"/>
    <numFmt numFmtId="170" formatCode="0.00%"/>
  </numFmts>
  <fonts count="1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</font>
    <font>
      <b val="true"/>
      <sz val="11"/>
      <color rgb="FF000000"/>
      <name val="Calibri"/>
      <family val="2"/>
    </font>
    <font>
      <sz val="10"/>
      <name val="Arial"/>
      <family val="2"/>
    </font>
    <font>
      <i val="true"/>
      <sz val="11"/>
      <color rgb="FF000000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2CC"/>
        <bgColor rgb="FFFFFFD7"/>
      </patternFill>
    </fill>
    <fill>
      <patternFill patternType="solid">
        <fgColor rgb="FFFFFFD7"/>
        <bgColor rgb="FFFFF2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" fillId="0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2C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C3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5" activeCellId="0" sqref="A25"/>
    </sheetView>
  </sheetViews>
  <sheetFormatPr defaultColWidth="8.5859375" defaultRowHeight="13.8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6"/>
    <col collapsed="false" customWidth="true" hidden="false" outlineLevel="0" max="5" min="5" style="0" width="12.43"/>
    <col collapsed="false" customWidth="true" hidden="false" outlineLevel="0" max="6" min="6" style="0" width="13.85"/>
    <col collapsed="false" customWidth="true" hidden="false" outlineLevel="0" max="7" min="7" style="0" width="28.57"/>
    <col collapsed="false" customWidth="true" hidden="false" outlineLevel="0" max="8" min="8" style="0" width="9.43"/>
    <col collapsed="false" customWidth="true" hidden="false" outlineLevel="0" max="10" min="10" style="0" width="12"/>
    <col collapsed="false" customWidth="true" hidden="false" outlineLevel="0" max="12" min="11" style="0" width="11.28"/>
    <col collapsed="false" customWidth="true" hidden="false" outlineLevel="0" max="13" min="13" style="0" width="13.28"/>
    <col collapsed="false" customWidth="true" hidden="false" outlineLevel="0" max="14" min="14" style="0" width="5"/>
    <col collapsed="false" customWidth="true" hidden="false" outlineLevel="0" max="15" min="15" style="0" width="3.7"/>
    <col collapsed="false" customWidth="true" hidden="false" outlineLevel="0" max="16" min="16" style="0" width="7.43"/>
    <col collapsed="false" customWidth="true" hidden="false" outlineLevel="0" max="19" min="19" style="0" width="16"/>
  </cols>
  <sheetData>
    <row r="2" s="2" customFormat="true" ht="13.8" hidden="false" customHeight="false" outlineLevel="0" collapsed="false">
      <c r="A2" s="1" t="s">
        <v>0</v>
      </c>
    </row>
    <row r="4" customFormat="false" ht="13.8" hidden="false" customHeight="false" outlineLevel="0" collapsed="false">
      <c r="A4" s="3" t="s">
        <v>1</v>
      </c>
      <c r="B4" s="4" t="s">
        <v>2</v>
      </c>
      <c r="C4" s="3" t="s">
        <v>3</v>
      </c>
      <c r="D4" s="5"/>
      <c r="E4" s="6"/>
      <c r="F4" s="3" t="s">
        <v>4</v>
      </c>
      <c r="G4" s="3" t="s">
        <v>5</v>
      </c>
      <c r="H4" s="7"/>
      <c r="I4" s="7"/>
      <c r="J4" s="7"/>
      <c r="K4" s="7"/>
      <c r="L4" s="7"/>
      <c r="M4" s="7"/>
      <c r="N4" s="7"/>
      <c r="O4" s="7"/>
      <c r="P4" s="8"/>
      <c r="R4" s="4" t="s">
        <v>6</v>
      </c>
      <c r="S4" s="3" t="s">
        <v>2</v>
      </c>
      <c r="T4" s="3" t="s">
        <v>7</v>
      </c>
      <c r="U4" s="5"/>
      <c r="V4" s="5"/>
      <c r="W4" s="6"/>
      <c r="X4" s="5" t="s">
        <v>8</v>
      </c>
      <c r="Y4" s="5"/>
      <c r="Z4" s="5"/>
      <c r="AA4" s="5"/>
      <c r="AB4" s="5"/>
      <c r="AC4" s="6"/>
    </row>
    <row r="5" customFormat="false" ht="13.8" hidden="false" customHeight="false" outlineLevel="0" collapsed="false">
      <c r="A5" s="9"/>
      <c r="B5" s="10"/>
      <c r="C5" s="11" t="s">
        <v>9</v>
      </c>
      <c r="D5" s="12" t="s">
        <v>10</v>
      </c>
      <c r="E5" s="13" t="s">
        <v>11</v>
      </c>
      <c r="F5" s="9"/>
      <c r="G5" s="9"/>
      <c r="H5" s="14"/>
      <c r="I5" s="14"/>
      <c r="J5" s="14"/>
      <c r="K5" s="14"/>
      <c r="L5" s="14"/>
      <c r="M5" s="14"/>
      <c r="N5" s="14"/>
      <c r="O5" s="14"/>
      <c r="P5" s="15"/>
      <c r="R5" s="16"/>
      <c r="S5" s="17"/>
      <c r="T5" s="11" t="s">
        <v>12</v>
      </c>
      <c r="U5" s="12" t="s">
        <v>13</v>
      </c>
      <c r="V5" s="12" t="s">
        <v>14</v>
      </c>
      <c r="W5" s="13" t="s">
        <v>15</v>
      </c>
      <c r="X5" s="18" t="s">
        <v>12</v>
      </c>
      <c r="Y5" s="18" t="s">
        <v>16</v>
      </c>
      <c r="Z5" s="18" t="s">
        <v>13</v>
      </c>
      <c r="AA5" s="18" t="s">
        <v>16</v>
      </c>
      <c r="AB5" s="18" t="s">
        <v>14</v>
      </c>
      <c r="AC5" s="19" t="s">
        <v>16</v>
      </c>
    </row>
    <row r="6" customFormat="false" ht="14.9" hidden="false" customHeight="false" outlineLevel="0" collapsed="false">
      <c r="A6" s="20" t="s">
        <v>17</v>
      </c>
      <c r="B6" s="21" t="s">
        <v>18</v>
      </c>
      <c r="C6" s="22" t="n">
        <v>25.97</v>
      </c>
      <c r="D6" s="22" t="n">
        <v>2.809</v>
      </c>
      <c r="E6" s="23" t="n">
        <v>109</v>
      </c>
      <c r="F6" s="24" t="n">
        <v>100</v>
      </c>
      <c r="I6" s="25" t="s">
        <v>19</v>
      </c>
      <c r="J6" s="26" t="s">
        <v>20</v>
      </c>
      <c r="K6" s="27" t="s">
        <v>21</v>
      </c>
      <c r="L6" s="27" t="s">
        <v>22</v>
      </c>
      <c r="M6" s="27" t="s">
        <v>23</v>
      </c>
      <c r="N6" s="23" t="s">
        <v>24</v>
      </c>
      <c r="O6" s="23" t="s">
        <v>25</v>
      </c>
      <c r="P6" s="28" t="s">
        <v>26</v>
      </c>
      <c r="R6" s="20" t="s">
        <v>27</v>
      </c>
      <c r="S6" s="29" t="s">
        <v>18</v>
      </c>
      <c r="T6" s="22" t="n">
        <v>53</v>
      </c>
      <c r="U6" s="23" t="n">
        <v>32</v>
      </c>
      <c r="V6" s="23" t="n">
        <v>24</v>
      </c>
      <c r="W6" s="30" t="n">
        <f aca="false">T6+U6+V6</f>
        <v>109</v>
      </c>
      <c r="X6" s="31" t="n">
        <f aca="false">T6/W6*100</f>
        <v>48.6238532110092</v>
      </c>
      <c r="Y6" s="32" t="n">
        <v>4.7873</v>
      </c>
      <c r="Z6" s="33" t="n">
        <f aca="false">U6/W6*100</f>
        <v>29.3577981651376</v>
      </c>
      <c r="AA6" s="32" t="n">
        <v>4.3619</v>
      </c>
      <c r="AB6" s="33" t="n">
        <f aca="false">V6/W6*100</f>
        <v>22.0183486238532</v>
      </c>
      <c r="AC6" s="34" t="n">
        <v>3.9689</v>
      </c>
    </row>
    <row r="7" customFormat="false" ht="13.8" hidden="false" customHeight="false" outlineLevel="0" collapsed="false">
      <c r="A7" s="35" t="s">
        <v>28</v>
      </c>
      <c r="B7" s="21" t="s">
        <v>29</v>
      </c>
      <c r="C7" s="36" t="n">
        <v>23.35</v>
      </c>
      <c r="D7" s="37" t="n">
        <v>4.427</v>
      </c>
      <c r="E7" s="23" t="n">
        <v>46</v>
      </c>
      <c r="F7" s="24" t="n">
        <v>49</v>
      </c>
      <c r="G7" s="29" t="s">
        <v>30</v>
      </c>
      <c r="H7" s="29" t="s">
        <v>31</v>
      </c>
      <c r="I7" s="25" t="n">
        <v>0.0001</v>
      </c>
      <c r="J7" s="38" t="n">
        <v>86.91</v>
      </c>
      <c r="K7" s="39"/>
      <c r="L7" s="39"/>
      <c r="M7" s="39"/>
      <c r="N7" s="39"/>
      <c r="O7" s="39"/>
      <c r="P7" s="40"/>
      <c r="R7" s="35"/>
      <c r="S7" s="29" t="s">
        <v>29</v>
      </c>
      <c r="T7" s="22" t="n">
        <v>20</v>
      </c>
      <c r="U7" s="23" t="n">
        <v>15</v>
      </c>
      <c r="V7" s="23" t="n">
        <v>11</v>
      </c>
      <c r="W7" s="30" t="n">
        <f aca="false">T7+U7+V7</f>
        <v>46</v>
      </c>
      <c r="X7" s="31" t="n">
        <f aca="false">T7/W7*100</f>
        <v>43.4782608695652</v>
      </c>
      <c r="Y7" s="32" t="n">
        <v>7.3091</v>
      </c>
      <c r="Z7" s="33" t="n">
        <f aca="false">U7/W7*100</f>
        <v>32.6086956521739</v>
      </c>
      <c r="AA7" s="32" t="n">
        <v>6.9118</v>
      </c>
      <c r="AB7" s="33" t="n">
        <v>22.9166666666667</v>
      </c>
      <c r="AC7" s="34" t="n">
        <v>6.2892</v>
      </c>
    </row>
    <row r="8" customFormat="false" ht="13.8" hidden="false" customHeight="false" outlineLevel="0" collapsed="false">
      <c r="A8" s="35"/>
      <c r="B8" s="21" t="s">
        <v>32</v>
      </c>
      <c r="C8" s="36" t="n">
        <v>23.2</v>
      </c>
      <c r="D8" s="37" t="n">
        <v>2.386</v>
      </c>
      <c r="E8" s="23" t="n">
        <v>93</v>
      </c>
      <c r="F8" s="24" t="n">
        <v>165</v>
      </c>
      <c r="G8" s="29" t="s">
        <v>33</v>
      </c>
      <c r="H8" s="29" t="s">
        <v>34</v>
      </c>
      <c r="I8" s="41" t="s">
        <v>35</v>
      </c>
      <c r="J8" s="42"/>
      <c r="K8" s="23" t="n">
        <v>284.3</v>
      </c>
      <c r="L8" s="23" t="n">
        <v>267.1</v>
      </c>
      <c r="M8" s="23" t="n">
        <v>17.48</v>
      </c>
      <c r="N8" s="23" t="n">
        <v>109</v>
      </c>
      <c r="O8" s="23" t="n">
        <v>46</v>
      </c>
      <c r="P8" s="43" t="n">
        <v>0.7383</v>
      </c>
      <c r="R8" s="35"/>
      <c r="S8" s="29" t="s">
        <v>32</v>
      </c>
      <c r="T8" s="22" t="n">
        <v>46</v>
      </c>
      <c r="U8" s="23" t="n">
        <v>31</v>
      </c>
      <c r="V8" s="23" t="n">
        <v>16</v>
      </c>
      <c r="W8" s="30" t="n">
        <f aca="false">T8+U8+V8</f>
        <v>93</v>
      </c>
      <c r="X8" s="31" t="n">
        <f aca="false">T8/W8*100</f>
        <v>49.4623655913979</v>
      </c>
      <c r="Y8" s="32" t="n">
        <v>5.1845</v>
      </c>
      <c r="Z8" s="33" t="n">
        <f aca="false">U8/W8*100</f>
        <v>33.3333333333333</v>
      </c>
      <c r="AA8" s="32" t="n">
        <v>4.8882</v>
      </c>
      <c r="AB8" s="33" t="n">
        <v>16.1616161616162</v>
      </c>
      <c r="AC8" s="34" t="n">
        <v>3.9136</v>
      </c>
    </row>
    <row r="9" customFormat="false" ht="13.8" hidden="false" customHeight="false" outlineLevel="0" collapsed="false">
      <c r="A9" s="35"/>
      <c r="B9" s="21" t="s">
        <v>36</v>
      </c>
      <c r="C9" s="36" t="n">
        <v>14.52</v>
      </c>
      <c r="D9" s="37" t="n">
        <v>2.391</v>
      </c>
      <c r="E9" s="23" t="n">
        <v>50</v>
      </c>
      <c r="F9" s="24" t="n">
        <v>67</v>
      </c>
      <c r="G9" s="29"/>
      <c r="H9" s="29" t="s">
        <v>37</v>
      </c>
      <c r="I9" s="41" t="s">
        <v>35</v>
      </c>
      <c r="J9" s="42"/>
      <c r="K9" s="23" t="n">
        <v>266.3</v>
      </c>
      <c r="L9" s="23" t="n">
        <v>290.8</v>
      </c>
      <c r="M9" s="23" t="n">
        <v>-23.74</v>
      </c>
      <c r="N9" s="23" t="n">
        <v>46</v>
      </c>
      <c r="O9" s="23" t="n">
        <v>93</v>
      </c>
      <c r="P9" s="43" t="n">
        <v>0.9775</v>
      </c>
      <c r="R9" s="35"/>
      <c r="S9" s="29" t="s">
        <v>36</v>
      </c>
      <c r="T9" s="22" t="n">
        <v>18</v>
      </c>
      <c r="U9" s="23" t="n">
        <v>14</v>
      </c>
      <c r="V9" s="23" t="n">
        <v>18</v>
      </c>
      <c r="W9" s="30" t="n">
        <f aca="false">T9+U9+V9</f>
        <v>50</v>
      </c>
      <c r="X9" s="31" t="n">
        <f aca="false">T9/W9*100</f>
        <v>36</v>
      </c>
      <c r="Y9" s="32" t="n">
        <v>6.7882</v>
      </c>
      <c r="Z9" s="33" t="n">
        <f aca="false">U9/W9*100</f>
        <v>28</v>
      </c>
      <c r="AA9" s="32" t="n">
        <v>6.3498</v>
      </c>
      <c r="AB9" s="33" t="n">
        <v>36</v>
      </c>
      <c r="AC9" s="34" t="n">
        <v>6.7882</v>
      </c>
    </row>
    <row r="10" customFormat="false" ht="13.8" hidden="false" customHeight="false" outlineLevel="0" collapsed="false">
      <c r="A10" s="35"/>
      <c r="B10" s="21" t="s">
        <v>38</v>
      </c>
      <c r="C10" s="36" t="n">
        <v>10.74</v>
      </c>
      <c r="D10" s="37" t="n">
        <v>1.446</v>
      </c>
      <c r="E10" s="23" t="n">
        <v>61</v>
      </c>
      <c r="F10" s="24" t="n">
        <v>50</v>
      </c>
      <c r="G10" s="29"/>
      <c r="H10" s="29" t="s">
        <v>39</v>
      </c>
      <c r="I10" s="25" t="n">
        <v>0.0092</v>
      </c>
      <c r="J10" s="42"/>
      <c r="K10" s="23" t="n">
        <v>290.5</v>
      </c>
      <c r="L10" s="23" t="n">
        <v>216</v>
      </c>
      <c r="M10" s="23" t="n">
        <v>74.85</v>
      </c>
      <c r="N10" s="23" t="n">
        <v>93</v>
      </c>
      <c r="O10" s="23" t="n">
        <v>50</v>
      </c>
      <c r="P10" s="43" t="n">
        <v>3.169</v>
      </c>
      <c r="R10" s="35"/>
      <c r="S10" s="29" t="s">
        <v>38</v>
      </c>
      <c r="T10" s="22" t="n">
        <v>17</v>
      </c>
      <c r="U10" s="23" t="n">
        <v>17</v>
      </c>
      <c r="V10" s="23" t="n">
        <v>27</v>
      </c>
      <c r="W10" s="30" t="n">
        <f aca="false">T10+U10+V10</f>
        <v>61</v>
      </c>
      <c r="X10" s="44" t="n">
        <f aca="false">T10/W10*100</f>
        <v>27.8688524590164</v>
      </c>
      <c r="Y10" s="32" t="n">
        <v>5.7406</v>
      </c>
      <c r="Z10" s="32" t="n">
        <f aca="false">U10/W10*100</f>
        <v>27.8688524590164</v>
      </c>
      <c r="AA10" s="32" t="n">
        <v>5.7406</v>
      </c>
      <c r="AB10" s="32" t="n">
        <v>44.2622950819672</v>
      </c>
      <c r="AC10" s="34" t="n">
        <v>6.3596</v>
      </c>
    </row>
    <row r="11" customFormat="false" ht="13.8" hidden="false" customHeight="false" outlineLevel="0" collapsed="false">
      <c r="A11" s="35"/>
      <c r="B11" s="21" t="s">
        <v>40</v>
      </c>
      <c r="C11" s="36" t="n">
        <v>7.368</v>
      </c>
      <c r="D11" s="37" t="n">
        <v>0.7903</v>
      </c>
      <c r="E11" s="23" t="n">
        <v>68</v>
      </c>
      <c r="F11" s="24" t="n">
        <v>133</v>
      </c>
      <c r="G11" s="29"/>
      <c r="H11" s="29" t="s">
        <v>41</v>
      </c>
      <c r="I11" s="41" t="s">
        <v>35</v>
      </c>
      <c r="J11" s="42"/>
      <c r="K11" s="23" t="n">
        <v>208.4</v>
      </c>
      <c r="L11" s="23" t="n">
        <v>200.3</v>
      </c>
      <c r="M11" s="23" t="n">
        <v>15.66</v>
      </c>
      <c r="N11" s="23" t="n">
        <v>50</v>
      </c>
      <c r="O11" s="23" t="n">
        <v>61</v>
      </c>
      <c r="P11" s="43" t="n">
        <v>0.6094</v>
      </c>
      <c r="R11" s="35"/>
      <c r="S11" s="29" t="s">
        <v>40</v>
      </c>
      <c r="T11" s="22" t="n">
        <v>13</v>
      </c>
      <c r="U11" s="23" t="n">
        <v>20</v>
      </c>
      <c r="V11" s="23" t="n">
        <v>35</v>
      </c>
      <c r="W11" s="30" t="n">
        <f aca="false">T11+U11+V11</f>
        <v>68</v>
      </c>
      <c r="X11" s="44" t="n">
        <f aca="false">T11/W11*100</f>
        <v>19.1176470588235</v>
      </c>
      <c r="Y11" s="32" t="n">
        <v>4.7686</v>
      </c>
      <c r="Z11" s="32" t="n">
        <f aca="false">U11/W11*100</f>
        <v>29.4117647058824</v>
      </c>
      <c r="AA11" s="32" t="n">
        <v>5.5255</v>
      </c>
      <c r="AB11" s="33" t="n">
        <v>50.7246376811594</v>
      </c>
      <c r="AC11" s="34" t="n">
        <v>6.0608</v>
      </c>
    </row>
    <row r="12" customFormat="false" ht="13.8" hidden="false" customHeight="false" outlineLevel="0" collapsed="false">
      <c r="A12" s="35"/>
      <c r="B12" s="21" t="s">
        <v>42</v>
      </c>
      <c r="C12" s="36" t="n">
        <v>4.65</v>
      </c>
      <c r="D12" s="37" t="n">
        <v>0.469</v>
      </c>
      <c r="E12" s="23" t="n">
        <v>40</v>
      </c>
      <c r="F12" s="24" t="n">
        <v>63</v>
      </c>
      <c r="G12" s="29"/>
      <c r="H12" s="29" t="s">
        <v>43</v>
      </c>
      <c r="I12" s="41" t="n">
        <v>0.7408</v>
      </c>
      <c r="J12" s="42"/>
      <c r="K12" s="23" t="n">
        <v>197</v>
      </c>
      <c r="L12" s="23" t="n">
        <v>163.7</v>
      </c>
      <c r="M12" s="23" t="n">
        <v>36.59</v>
      </c>
      <c r="N12" s="23" t="n">
        <v>61</v>
      </c>
      <c r="O12" s="23" t="n">
        <v>68</v>
      </c>
      <c r="P12" s="43" t="n">
        <v>1.54</v>
      </c>
      <c r="R12" s="45"/>
      <c r="S12" s="46" t="s">
        <v>42</v>
      </c>
      <c r="T12" s="47" t="n">
        <v>0</v>
      </c>
      <c r="U12" s="48" t="n">
        <v>10</v>
      </c>
      <c r="V12" s="48" t="n">
        <v>30</v>
      </c>
      <c r="W12" s="49" t="n">
        <f aca="false">T12+U12+V12</f>
        <v>40</v>
      </c>
      <c r="X12" s="50" t="n">
        <f aca="false">T12/W12*100</f>
        <v>0</v>
      </c>
      <c r="Y12" s="51" t="n">
        <v>0</v>
      </c>
      <c r="Z12" s="51" t="n">
        <f aca="false">U12/W12*100</f>
        <v>25</v>
      </c>
      <c r="AA12" s="51" t="n">
        <v>6.8465</v>
      </c>
      <c r="AB12" s="51" t="n">
        <v>73.1707317073171</v>
      </c>
      <c r="AC12" s="52" t="n">
        <v>6.8465</v>
      </c>
    </row>
    <row r="13" customFormat="false" ht="13.8" hidden="false" customHeight="false" outlineLevel="0" collapsed="false">
      <c r="A13" s="45"/>
      <c r="B13" s="53"/>
      <c r="C13" s="54"/>
      <c r="D13" s="55"/>
      <c r="E13" s="55"/>
      <c r="F13" s="56"/>
      <c r="G13" s="46"/>
      <c r="H13" s="46" t="s">
        <v>44</v>
      </c>
      <c r="I13" s="57" t="n">
        <v>0.5879</v>
      </c>
      <c r="J13" s="58"/>
      <c r="K13" s="48" t="n">
        <v>172.7</v>
      </c>
      <c r="L13" s="48" t="n">
        <v>119.3</v>
      </c>
      <c r="M13" s="48" t="n">
        <v>44.42</v>
      </c>
      <c r="N13" s="48" t="n">
        <v>68</v>
      </c>
      <c r="O13" s="48" t="n">
        <v>40</v>
      </c>
      <c r="P13" s="59" t="n">
        <v>1.655</v>
      </c>
    </row>
    <row r="14" customFormat="false" ht="13.8" hidden="false" customHeight="false" outlineLevel="0" collapsed="false">
      <c r="A14" s="60" t="s">
        <v>45</v>
      </c>
      <c r="B14" s="61" t="s">
        <v>18</v>
      </c>
      <c r="C14" s="62" t="n">
        <v>44.17</v>
      </c>
      <c r="D14" s="63" t="n">
        <v>4.495</v>
      </c>
      <c r="E14" s="22" t="n">
        <v>53</v>
      </c>
      <c r="F14" s="24" t="n">
        <v>100</v>
      </c>
      <c r="G14" s="64"/>
      <c r="H14" s="65"/>
      <c r="I14" s="66"/>
      <c r="J14" s="67"/>
      <c r="K14" s="68"/>
      <c r="L14" s="68"/>
      <c r="M14" s="68"/>
      <c r="N14" s="68"/>
      <c r="O14" s="68"/>
      <c r="P14" s="69"/>
    </row>
    <row r="15" customFormat="false" ht="13.8" hidden="false" customHeight="false" outlineLevel="0" collapsed="false">
      <c r="A15" s="0" t="s">
        <v>12</v>
      </c>
      <c r="B15" s="21" t="s">
        <v>29</v>
      </c>
      <c r="C15" s="36" t="n">
        <v>44</v>
      </c>
      <c r="D15" s="37" t="n">
        <v>8.053</v>
      </c>
      <c r="E15" s="22" t="n">
        <v>20</v>
      </c>
      <c r="F15" s="24" t="n">
        <v>49</v>
      </c>
      <c r="G15" s="35" t="s">
        <v>30</v>
      </c>
      <c r="H15" s="29" t="s">
        <v>46</v>
      </c>
      <c r="I15" s="25" t="n">
        <v>0.0004</v>
      </c>
      <c r="J15" s="42" t="n">
        <v>24.42</v>
      </c>
      <c r="K15" s="70"/>
      <c r="L15" s="70"/>
      <c r="M15" s="70"/>
      <c r="N15" s="70"/>
      <c r="O15" s="70"/>
      <c r="P15" s="71"/>
    </row>
    <row r="16" customFormat="false" ht="13.8" hidden="false" customHeight="false" outlineLevel="0" collapsed="false">
      <c r="A16" s="35"/>
      <c r="B16" s="21" t="s">
        <v>32</v>
      </c>
      <c r="C16" s="36" t="n">
        <v>37.07</v>
      </c>
      <c r="D16" s="37" t="n">
        <v>3.692</v>
      </c>
      <c r="E16" s="22" t="n">
        <v>46</v>
      </c>
      <c r="F16" s="24" t="n">
        <v>165</v>
      </c>
      <c r="G16" s="29" t="s">
        <v>33</v>
      </c>
      <c r="H16" s="29" t="s">
        <v>34</v>
      </c>
      <c r="I16" s="41" t="s">
        <v>35</v>
      </c>
      <c r="J16" s="72"/>
      <c r="K16" s="23" t="n">
        <v>95.92</v>
      </c>
      <c r="L16" s="23" t="n">
        <v>94.8</v>
      </c>
      <c r="M16" s="23" t="n">
        <v>1.125</v>
      </c>
      <c r="N16" s="23" t="n">
        <v>53</v>
      </c>
      <c r="O16" s="23" t="n">
        <v>20</v>
      </c>
      <c r="P16" s="43" t="n">
        <v>0.08812</v>
      </c>
    </row>
    <row r="17" customFormat="false" ht="13.8" hidden="false" customHeight="false" outlineLevel="0" collapsed="false">
      <c r="A17" s="35"/>
      <c r="B17" s="21" t="s">
        <v>36</v>
      </c>
      <c r="C17" s="36" t="n">
        <v>31.28</v>
      </c>
      <c r="D17" s="37" t="n">
        <v>4.354</v>
      </c>
      <c r="E17" s="22" t="n">
        <v>18</v>
      </c>
      <c r="F17" s="24" t="n">
        <v>67</v>
      </c>
      <c r="G17" s="35"/>
      <c r="H17" s="29" t="s">
        <v>37</v>
      </c>
      <c r="I17" s="41" t="s">
        <v>35</v>
      </c>
      <c r="J17" s="72"/>
      <c r="K17" s="23" t="n">
        <v>94.8</v>
      </c>
      <c r="L17" s="23" t="n">
        <v>90.78</v>
      </c>
      <c r="M17" s="23" t="n">
        <v>4.017</v>
      </c>
      <c r="N17" s="23" t="n">
        <v>20</v>
      </c>
      <c r="O17" s="23" t="n">
        <v>46</v>
      </c>
      <c r="P17" s="43" t="n">
        <v>0.3085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</row>
    <row r="18" customFormat="false" ht="13.8" hidden="false" customHeight="false" outlineLevel="0" collapsed="false">
      <c r="A18" s="35"/>
      <c r="B18" s="21" t="s">
        <v>38</v>
      </c>
      <c r="C18" s="36" t="n">
        <v>24.35</v>
      </c>
      <c r="D18" s="37" t="n">
        <v>3.21</v>
      </c>
      <c r="E18" s="22" t="n">
        <v>17</v>
      </c>
      <c r="F18" s="24" t="n">
        <v>50</v>
      </c>
      <c r="G18" s="35"/>
      <c r="H18" s="29" t="s">
        <v>39</v>
      </c>
      <c r="I18" s="41" t="s">
        <v>35</v>
      </c>
      <c r="J18" s="72"/>
      <c r="K18" s="23" t="n">
        <v>90.78</v>
      </c>
      <c r="L18" s="23" t="n">
        <v>82.03</v>
      </c>
      <c r="M18" s="23" t="n">
        <v>8.755</v>
      </c>
      <c r="N18" s="23" t="n">
        <v>46</v>
      </c>
      <c r="O18" s="23" t="n">
        <v>18</v>
      </c>
      <c r="P18" s="43" t="n">
        <v>0.6476</v>
      </c>
      <c r="Q18" s="73"/>
    </row>
    <row r="19" customFormat="false" ht="13.8" hidden="false" customHeight="false" outlineLevel="0" collapsed="false">
      <c r="A19" s="35"/>
      <c r="B19" s="21" t="s">
        <v>40</v>
      </c>
      <c r="C19" s="36" t="n">
        <v>14.46</v>
      </c>
      <c r="D19" s="37" t="n">
        <v>2.096</v>
      </c>
      <c r="E19" s="22" t="n">
        <v>13</v>
      </c>
      <c r="F19" s="24" t="n">
        <v>133</v>
      </c>
      <c r="G19" s="35"/>
      <c r="H19" s="29" t="s">
        <v>41</v>
      </c>
      <c r="I19" s="41" t="s">
        <v>35</v>
      </c>
      <c r="J19" s="72"/>
      <c r="K19" s="23" t="n">
        <v>82.03</v>
      </c>
      <c r="L19" s="23" t="n">
        <v>66.62</v>
      </c>
      <c r="M19" s="23" t="n">
        <v>15.41</v>
      </c>
      <c r="N19" s="23" t="n">
        <v>18</v>
      </c>
      <c r="O19" s="23" t="n">
        <v>17</v>
      </c>
      <c r="P19" s="43" t="n">
        <v>0.9371</v>
      </c>
      <c r="Q19" s="73"/>
    </row>
    <row r="20" customFormat="false" ht="13.8" hidden="false" customHeight="false" outlineLevel="0" collapsed="false">
      <c r="A20" s="35"/>
      <c r="B20" s="21"/>
      <c r="C20" s="36"/>
      <c r="D20" s="37"/>
      <c r="E20" s="22"/>
      <c r="F20" s="72"/>
      <c r="G20" s="35"/>
      <c r="H20" s="29" t="s">
        <v>43</v>
      </c>
      <c r="I20" s="74" t="n">
        <v>0.3059</v>
      </c>
      <c r="J20" s="72"/>
      <c r="K20" s="23" t="n">
        <v>66.62</v>
      </c>
      <c r="L20" s="23" t="n">
        <v>33.08</v>
      </c>
      <c r="M20" s="23" t="n">
        <v>33.54</v>
      </c>
      <c r="N20" s="23" t="n">
        <v>17</v>
      </c>
      <c r="O20" s="23" t="n">
        <v>13</v>
      </c>
      <c r="P20" s="43" t="n">
        <v>1.872</v>
      </c>
      <c r="Q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customFormat="false" ht="13.8" hidden="false" customHeight="false" outlineLevel="0" collapsed="false">
      <c r="A21" s="45"/>
      <c r="B21" s="53"/>
      <c r="C21" s="54"/>
      <c r="D21" s="55"/>
      <c r="E21" s="55"/>
      <c r="F21" s="54"/>
      <c r="G21" s="35"/>
      <c r="H21" s="29"/>
      <c r="I21" s="25"/>
      <c r="J21" s="54"/>
      <c r="K21" s="48"/>
      <c r="L21" s="48"/>
      <c r="M21" s="48"/>
      <c r="N21" s="48"/>
      <c r="O21" s="48"/>
      <c r="P21" s="59"/>
    </row>
    <row r="22" customFormat="false" ht="13.8" hidden="false" customHeight="false" outlineLevel="0" collapsed="false">
      <c r="A22" s="60" t="s">
        <v>47</v>
      </c>
      <c r="B22" s="61" t="s">
        <v>18</v>
      </c>
      <c r="C22" s="62" t="n">
        <v>12.59</v>
      </c>
      <c r="D22" s="63" t="n">
        <v>1.371</v>
      </c>
      <c r="E22" s="75" t="n">
        <v>32</v>
      </c>
      <c r="F22" s="24" t="n">
        <v>100</v>
      </c>
      <c r="G22" s="64"/>
      <c r="H22" s="65"/>
      <c r="I22" s="66"/>
      <c r="J22" s="67"/>
      <c r="K22" s="68"/>
      <c r="L22" s="68"/>
      <c r="M22" s="68"/>
      <c r="N22" s="68"/>
      <c r="O22" s="68"/>
      <c r="P22" s="69"/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 customFormat="false" ht="13.8" hidden="false" customHeight="false" outlineLevel="0" collapsed="false">
      <c r="A23" s="35" t="s">
        <v>48</v>
      </c>
      <c r="B23" s="21" t="s">
        <v>29</v>
      </c>
      <c r="C23" s="36" t="n">
        <v>10.33</v>
      </c>
      <c r="D23" s="37" t="n">
        <v>1.588</v>
      </c>
      <c r="E23" s="28" t="n">
        <v>15</v>
      </c>
      <c r="F23" s="24" t="n">
        <v>49</v>
      </c>
      <c r="G23" s="35" t="s">
        <v>30</v>
      </c>
      <c r="H23" s="29" t="s">
        <v>31</v>
      </c>
      <c r="I23" s="25" t="n">
        <v>0.3433</v>
      </c>
      <c r="J23" s="38" t="n">
        <v>6.763</v>
      </c>
      <c r="K23" s="70"/>
      <c r="L23" s="70"/>
      <c r="M23" s="70"/>
      <c r="N23" s="70"/>
      <c r="O23" s="70"/>
      <c r="P23" s="71"/>
      <c r="T23" s="73"/>
    </row>
    <row r="24" customFormat="false" ht="13.8" hidden="false" customHeight="false" outlineLevel="0" collapsed="false">
      <c r="A24" s="35"/>
      <c r="B24" s="21" t="s">
        <v>32</v>
      </c>
      <c r="C24" s="36" t="n">
        <v>12.77</v>
      </c>
      <c r="D24" s="37" t="n">
        <v>1.501</v>
      </c>
      <c r="E24" s="28" t="n">
        <v>31</v>
      </c>
      <c r="F24" s="24" t="n">
        <v>165</v>
      </c>
      <c r="G24" s="29" t="s">
        <v>33</v>
      </c>
      <c r="H24" s="29" t="s">
        <v>34</v>
      </c>
      <c r="I24" s="41" t="s">
        <v>35</v>
      </c>
      <c r="J24" s="72"/>
      <c r="K24" s="23" t="n">
        <v>79.41</v>
      </c>
      <c r="L24" s="23" t="n">
        <v>63.97</v>
      </c>
      <c r="M24" s="23" t="n">
        <v>15.44</v>
      </c>
      <c r="N24" s="23" t="n">
        <v>32</v>
      </c>
      <c r="O24" s="23" t="n">
        <v>15</v>
      </c>
      <c r="P24" s="43" t="n">
        <v>1.232</v>
      </c>
    </row>
    <row r="25" customFormat="false" ht="13.8" hidden="false" customHeight="false" outlineLevel="0" collapsed="false">
      <c r="A25" s="35"/>
      <c r="B25" s="21" t="s">
        <v>36</v>
      </c>
      <c r="C25" s="36" t="n">
        <v>8.071</v>
      </c>
      <c r="D25" s="37" t="n">
        <v>0.6668</v>
      </c>
      <c r="E25" s="28" t="n">
        <v>14</v>
      </c>
      <c r="F25" s="24" t="n">
        <v>67</v>
      </c>
      <c r="G25" s="35"/>
      <c r="H25" s="29" t="s">
        <v>37</v>
      </c>
      <c r="I25" s="41" t="s">
        <v>35</v>
      </c>
      <c r="J25" s="72"/>
      <c r="K25" s="23" t="n">
        <v>63.97</v>
      </c>
      <c r="L25" s="23" t="n">
        <v>76.56</v>
      </c>
      <c r="M25" s="23" t="n">
        <v>-12.6</v>
      </c>
      <c r="N25" s="23" t="n">
        <v>15</v>
      </c>
      <c r="O25" s="23" t="n">
        <v>31</v>
      </c>
      <c r="P25" s="43" t="n">
        <v>1</v>
      </c>
    </row>
    <row r="26" customFormat="false" ht="13.8" hidden="false" customHeight="false" outlineLevel="0" collapsed="false">
      <c r="A26" s="35"/>
      <c r="B26" s="21" t="s">
        <v>38</v>
      </c>
      <c r="C26" s="36" t="n">
        <v>8.647</v>
      </c>
      <c r="D26" s="37" t="n">
        <v>0.7809</v>
      </c>
      <c r="E26" s="28" t="n">
        <v>17</v>
      </c>
      <c r="F26" s="24" t="n">
        <v>50</v>
      </c>
      <c r="G26" s="35"/>
      <c r="H26" s="29" t="s">
        <v>39</v>
      </c>
      <c r="I26" s="41" t="n">
        <v>0.5222</v>
      </c>
      <c r="J26" s="72"/>
      <c r="K26" s="23" t="n">
        <v>76.56</v>
      </c>
      <c r="L26" s="23" t="n">
        <v>54.5</v>
      </c>
      <c r="M26" s="23" t="n">
        <v>22.06</v>
      </c>
      <c r="N26" s="23" t="n">
        <v>31</v>
      </c>
      <c r="O26" s="23" t="n">
        <v>14</v>
      </c>
      <c r="P26" s="43" t="n">
        <v>1.711</v>
      </c>
    </row>
    <row r="27" customFormat="false" ht="13.8" hidden="false" customHeight="false" outlineLevel="0" collapsed="false">
      <c r="A27" s="35"/>
      <c r="B27" s="21" t="s">
        <v>40</v>
      </c>
      <c r="C27" s="36" t="n">
        <v>10.65</v>
      </c>
      <c r="D27" s="37" t="n">
        <v>1.206</v>
      </c>
      <c r="E27" s="28" t="n">
        <v>20</v>
      </c>
      <c r="F27" s="24" t="n">
        <v>133</v>
      </c>
      <c r="G27" s="35"/>
      <c r="H27" s="29" t="s">
        <v>41</v>
      </c>
      <c r="I27" s="41" t="s">
        <v>35</v>
      </c>
      <c r="J27" s="72"/>
      <c r="K27" s="23" t="n">
        <v>54.5</v>
      </c>
      <c r="L27" s="23" t="n">
        <v>59.18</v>
      </c>
      <c r="M27" s="23" t="n">
        <v>-4.676</v>
      </c>
      <c r="N27" s="23" t="n">
        <v>14</v>
      </c>
      <c r="O27" s="23" t="n">
        <v>17</v>
      </c>
      <c r="P27" s="43" t="n">
        <v>0.3236</v>
      </c>
    </row>
    <row r="28" customFormat="false" ht="13.8" hidden="false" customHeight="false" outlineLevel="0" collapsed="false">
      <c r="A28" s="35"/>
      <c r="B28" s="21" t="s">
        <v>42</v>
      </c>
      <c r="C28" s="36" t="n">
        <v>8.7</v>
      </c>
      <c r="D28" s="37" t="n">
        <v>0.9074</v>
      </c>
      <c r="E28" s="28" t="n">
        <v>10</v>
      </c>
      <c r="F28" s="24" t="n">
        <v>63</v>
      </c>
      <c r="G28" s="35"/>
      <c r="H28" s="29" t="s">
        <v>43</v>
      </c>
      <c r="I28" s="41" t="s">
        <v>35</v>
      </c>
      <c r="J28" s="72"/>
      <c r="K28" s="23" t="n">
        <v>59.18</v>
      </c>
      <c r="L28" s="23" t="n">
        <v>73.15</v>
      </c>
      <c r="M28" s="23" t="n">
        <v>-13.97</v>
      </c>
      <c r="N28" s="23" t="n">
        <v>17</v>
      </c>
      <c r="O28" s="23" t="n">
        <v>20</v>
      </c>
      <c r="P28" s="43" t="n">
        <v>1.058</v>
      </c>
      <c r="S28" s="73"/>
    </row>
    <row r="29" customFormat="false" ht="13.8" hidden="false" customHeight="false" outlineLevel="0" collapsed="false">
      <c r="A29" s="45"/>
      <c r="B29" s="53"/>
      <c r="C29" s="54"/>
      <c r="D29" s="55"/>
      <c r="E29" s="49"/>
      <c r="F29" s="55"/>
      <c r="G29" s="76"/>
      <c r="H29" s="46" t="s">
        <v>44</v>
      </c>
      <c r="I29" s="77" t="s">
        <v>35</v>
      </c>
      <c r="J29" s="54"/>
      <c r="K29" s="48" t="n">
        <v>73.15</v>
      </c>
      <c r="L29" s="48" t="n">
        <v>62.4</v>
      </c>
      <c r="M29" s="48" t="n">
        <v>10.75</v>
      </c>
      <c r="N29" s="48" t="n">
        <v>20</v>
      </c>
      <c r="O29" s="48" t="n">
        <v>10</v>
      </c>
      <c r="P29" s="59" t="n">
        <v>0.6932</v>
      </c>
      <c r="S29" s="73"/>
    </row>
    <row r="30" customFormat="false" ht="13.8" hidden="false" customHeight="false" outlineLevel="0" collapsed="false">
      <c r="A30" s="60" t="s">
        <v>49</v>
      </c>
      <c r="B30" s="61" t="s">
        <v>18</v>
      </c>
      <c r="C30" s="62" t="n">
        <v>3.524</v>
      </c>
      <c r="D30" s="63" t="n">
        <v>0.3057</v>
      </c>
      <c r="E30" s="23" t="n">
        <v>24</v>
      </c>
      <c r="F30" s="24" t="n">
        <v>100</v>
      </c>
      <c r="G30" s="64"/>
      <c r="H30" s="65"/>
      <c r="I30" s="66"/>
      <c r="J30" s="67"/>
      <c r="K30" s="68"/>
      <c r="L30" s="68"/>
      <c r="M30" s="68"/>
      <c r="N30" s="68"/>
      <c r="O30" s="68"/>
      <c r="P30" s="69"/>
      <c r="S30" s="73"/>
    </row>
    <row r="31" customFormat="false" ht="13.8" hidden="false" customHeight="false" outlineLevel="0" collapsed="false">
      <c r="A31" s="35" t="s">
        <v>50</v>
      </c>
      <c r="B31" s="21" t="s">
        <v>29</v>
      </c>
      <c r="C31" s="36" t="n">
        <v>3.545</v>
      </c>
      <c r="D31" s="37" t="n">
        <v>0.3659</v>
      </c>
      <c r="E31" s="23" t="n">
        <v>11</v>
      </c>
      <c r="F31" s="24" t="n">
        <v>49</v>
      </c>
      <c r="G31" s="35" t="s">
        <v>30</v>
      </c>
      <c r="H31" s="29" t="s">
        <v>31</v>
      </c>
      <c r="I31" s="25" t="n">
        <v>0.0966</v>
      </c>
      <c r="J31" s="42" t="n">
        <v>10.74</v>
      </c>
      <c r="K31" s="70"/>
      <c r="L31" s="70"/>
      <c r="M31" s="70"/>
      <c r="N31" s="70"/>
      <c r="O31" s="70"/>
      <c r="P31" s="71"/>
      <c r="S31" s="73"/>
    </row>
    <row r="32" customFormat="false" ht="13.8" hidden="false" customHeight="false" outlineLevel="0" collapsed="false">
      <c r="A32" s="35"/>
      <c r="B32" s="21" t="s">
        <v>32</v>
      </c>
      <c r="C32" s="36" t="n">
        <v>3.563</v>
      </c>
      <c r="D32" s="37" t="n">
        <v>0.2734</v>
      </c>
      <c r="E32" s="23" t="n">
        <v>16</v>
      </c>
      <c r="F32" s="24" t="n">
        <v>165</v>
      </c>
      <c r="G32" s="29" t="s">
        <v>33</v>
      </c>
      <c r="H32" s="29" t="s">
        <v>34</v>
      </c>
      <c r="I32" s="41" t="s">
        <v>35</v>
      </c>
      <c r="J32" s="72"/>
      <c r="K32" s="23" t="n">
        <v>91.1</v>
      </c>
      <c r="L32" s="23" t="n">
        <v>92.36</v>
      </c>
      <c r="M32" s="23" t="n">
        <v>-1.259</v>
      </c>
      <c r="N32" s="23" t="n">
        <v>24</v>
      </c>
      <c r="O32" s="23" t="n">
        <v>11</v>
      </c>
      <c r="P32" s="43" t="n">
        <v>0.07701</v>
      </c>
      <c r="S32" s="73"/>
    </row>
    <row r="33" customFormat="false" ht="13.8" hidden="false" customHeight="false" outlineLevel="0" collapsed="false">
      <c r="A33" s="35"/>
      <c r="B33" s="21" t="s">
        <v>36</v>
      </c>
      <c r="C33" s="36" t="n">
        <v>2.778</v>
      </c>
      <c r="D33" s="37" t="n">
        <v>0.1906</v>
      </c>
      <c r="E33" s="23" t="n">
        <v>18</v>
      </c>
      <c r="F33" s="24" t="n">
        <v>67</v>
      </c>
      <c r="G33" s="35"/>
      <c r="H33" s="29" t="s">
        <v>37</v>
      </c>
      <c r="I33" s="41" t="s">
        <v>35</v>
      </c>
      <c r="J33" s="78"/>
      <c r="K33" s="23" t="n">
        <v>92.36</v>
      </c>
      <c r="L33" s="23" t="n">
        <v>94.56</v>
      </c>
      <c r="M33" s="23" t="n">
        <v>-2.199</v>
      </c>
      <c r="N33" s="23" t="n">
        <v>11</v>
      </c>
      <c r="O33" s="23" t="n">
        <v>16</v>
      </c>
      <c r="P33" s="43" t="n">
        <v>0.125</v>
      </c>
      <c r="S33" s="73"/>
    </row>
    <row r="34" customFormat="false" ht="13.8" hidden="false" customHeight="false" outlineLevel="0" collapsed="false">
      <c r="A34" s="35"/>
      <c r="B34" s="21" t="s">
        <v>38</v>
      </c>
      <c r="C34" s="36" t="n">
        <v>3.481</v>
      </c>
      <c r="D34" s="37" t="n">
        <v>0.2288</v>
      </c>
      <c r="E34" s="23" t="n">
        <v>27</v>
      </c>
      <c r="F34" s="24" t="n">
        <v>50</v>
      </c>
      <c r="G34" s="35"/>
      <c r="H34" s="29" t="s">
        <v>39</v>
      </c>
      <c r="I34" s="41" t="n">
        <v>0.2765</v>
      </c>
      <c r="J34" s="78"/>
      <c r="K34" s="23" t="n">
        <v>94.56</v>
      </c>
      <c r="L34" s="23" t="n">
        <v>63.78</v>
      </c>
      <c r="M34" s="23" t="n">
        <v>30.78</v>
      </c>
      <c r="N34" s="23" t="n">
        <v>16</v>
      </c>
      <c r="O34" s="23" t="n">
        <v>18</v>
      </c>
      <c r="P34" s="43" t="n">
        <v>1.995</v>
      </c>
      <c r="S34" s="73"/>
    </row>
    <row r="35" customFormat="false" ht="13.8" hidden="false" customHeight="false" outlineLevel="0" collapsed="false">
      <c r="A35" s="35"/>
      <c r="B35" s="21" t="s">
        <v>40</v>
      </c>
      <c r="C35" s="36" t="n">
        <v>2.857</v>
      </c>
      <c r="D35" s="37" t="n">
        <v>0.1486</v>
      </c>
      <c r="E35" s="23" t="n">
        <v>35</v>
      </c>
      <c r="F35" s="24" t="n">
        <v>133</v>
      </c>
      <c r="G35" s="35"/>
      <c r="H35" s="29" t="s">
        <v>41</v>
      </c>
      <c r="I35" s="41" t="n">
        <v>0.3344</v>
      </c>
      <c r="J35" s="78"/>
      <c r="K35" s="23" t="n">
        <v>63.78</v>
      </c>
      <c r="L35" s="23" t="n">
        <v>89.93</v>
      </c>
      <c r="M35" s="23" t="n">
        <v>-26.15</v>
      </c>
      <c r="N35" s="23" t="n">
        <v>18</v>
      </c>
      <c r="O35" s="23" t="n">
        <v>27</v>
      </c>
      <c r="P35" s="43" t="n">
        <v>1.913</v>
      </c>
    </row>
    <row r="36" customFormat="false" ht="13.8" hidden="false" customHeight="false" outlineLevel="0" collapsed="false">
      <c r="A36" s="35"/>
      <c r="B36" s="21" t="s">
        <v>42</v>
      </c>
      <c r="C36" s="36" t="n">
        <v>3.3</v>
      </c>
      <c r="D36" s="37" t="n">
        <v>0.2404</v>
      </c>
      <c r="E36" s="23" t="n">
        <v>30</v>
      </c>
      <c r="F36" s="24" t="n">
        <v>63</v>
      </c>
      <c r="G36" s="35"/>
      <c r="H36" s="29" t="s">
        <v>43</v>
      </c>
      <c r="I36" s="41" t="n">
        <v>0.2497</v>
      </c>
      <c r="J36" s="78"/>
      <c r="K36" s="23" t="n">
        <v>89.93</v>
      </c>
      <c r="L36" s="23" t="n">
        <v>66.49</v>
      </c>
      <c r="M36" s="23" t="n">
        <v>23.44</v>
      </c>
      <c r="N36" s="23" t="n">
        <v>27</v>
      </c>
      <c r="O36" s="23" t="n">
        <v>35</v>
      </c>
      <c r="P36" s="43" t="n">
        <v>2.037</v>
      </c>
    </row>
    <row r="37" customFormat="false" ht="13.8" hidden="false" customHeight="false" outlineLevel="0" collapsed="false">
      <c r="A37" s="45"/>
      <c r="B37" s="53"/>
      <c r="C37" s="54"/>
      <c r="D37" s="55"/>
      <c r="E37" s="55"/>
      <c r="F37" s="54"/>
      <c r="G37" s="76"/>
      <c r="H37" s="46" t="s">
        <v>44</v>
      </c>
      <c r="I37" s="77" t="s">
        <v>35</v>
      </c>
      <c r="J37" s="79"/>
      <c r="K37" s="48" t="n">
        <v>66.49</v>
      </c>
      <c r="L37" s="48" t="n">
        <v>80.75</v>
      </c>
      <c r="M37" s="48" t="n">
        <v>-14.26</v>
      </c>
      <c r="N37" s="48" t="n">
        <v>35</v>
      </c>
      <c r="O37" s="48" t="n">
        <v>30</v>
      </c>
      <c r="P37" s="59" t="n">
        <v>1.276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4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9" activeCellId="0" sqref="A19"/>
    </sheetView>
  </sheetViews>
  <sheetFormatPr defaultColWidth="8.5859375" defaultRowHeight="13.8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16"/>
    <col collapsed="false" customWidth="true" hidden="false" outlineLevel="0" max="3" min="3" style="0" width="10.71"/>
    <col collapsed="false" customWidth="true" hidden="false" outlineLevel="0" max="4" min="4" style="0" width="12"/>
    <col collapsed="false" customWidth="true" hidden="false" outlineLevel="0" max="5" min="5" style="0" width="10.28"/>
    <col collapsed="false" customWidth="true" hidden="false" outlineLevel="0" max="6" min="6" style="0" width="21.43"/>
    <col collapsed="false" customWidth="true" hidden="false" outlineLevel="0" max="7" min="7" style="0" width="14.71"/>
    <col collapsed="false" customWidth="true" hidden="false" outlineLevel="0" max="8" min="8" style="0" width="11.57"/>
    <col collapsed="false" customWidth="true" hidden="false" outlineLevel="0" max="9" min="9" style="0" width="18.57"/>
    <col collapsed="false" customWidth="true" hidden="false" outlineLevel="0" max="12" min="12" style="0" width="19"/>
    <col collapsed="false" customWidth="true" hidden="false" outlineLevel="0" max="14" min="13" style="0" width="16.71"/>
    <col collapsed="false" customWidth="true" hidden="false" outlineLevel="0" max="15" min="15" style="0" width="10.28"/>
    <col collapsed="false" customWidth="true" hidden="false" outlineLevel="0" max="16" min="16" style="0" width="14.14"/>
  </cols>
  <sheetData>
    <row r="2" s="2" customFormat="true" ht="13.8" hidden="false" customHeight="false" outlineLevel="0" collapsed="false">
      <c r="A2" s="1" t="s">
        <v>51</v>
      </c>
    </row>
    <row r="4" customFormat="false" ht="15" hidden="false" customHeight="true" outlineLevel="0" collapsed="false">
      <c r="A4" s="4" t="s">
        <v>1</v>
      </c>
      <c r="B4" s="4" t="s">
        <v>52</v>
      </c>
      <c r="C4" s="3" t="s">
        <v>53</v>
      </c>
      <c r="D4" s="5"/>
      <c r="E4" s="3" t="s">
        <v>11</v>
      </c>
      <c r="F4" s="3" t="s">
        <v>54</v>
      </c>
      <c r="G4" s="80" t="s">
        <v>55</v>
      </c>
      <c r="H4" s="5"/>
      <c r="I4" s="80" t="s">
        <v>55</v>
      </c>
    </row>
    <row r="5" customFormat="false" ht="13.8" hidden="false" customHeight="false" outlineLevel="0" collapsed="false">
      <c r="A5" s="16"/>
      <c r="B5" s="16"/>
      <c r="C5" s="11" t="s">
        <v>56</v>
      </c>
      <c r="D5" s="12" t="s">
        <v>57</v>
      </c>
      <c r="E5" s="17" t="s">
        <v>15</v>
      </c>
      <c r="F5" s="11" t="s">
        <v>56</v>
      </c>
      <c r="G5" s="80"/>
      <c r="H5" s="12" t="s">
        <v>57</v>
      </c>
      <c r="I5" s="80"/>
    </row>
    <row r="6" customFormat="false" ht="13.8" hidden="false" customHeight="false" outlineLevel="0" collapsed="false">
      <c r="A6" s="35" t="s">
        <v>58</v>
      </c>
      <c r="B6" s="21" t="s">
        <v>59</v>
      </c>
      <c r="C6" s="72" t="n">
        <v>8</v>
      </c>
      <c r="D6" s="81" t="n">
        <v>1</v>
      </c>
      <c r="E6" s="82" t="n">
        <v>37</v>
      </c>
      <c r="F6" s="31" t="n">
        <f aca="false">C6/E6*100</f>
        <v>21.6216216216216</v>
      </c>
      <c r="G6" s="32" t="n">
        <v>6.77</v>
      </c>
      <c r="H6" s="33" t="n">
        <f aca="false">D6/E6*100</f>
        <v>2.7027027027027</v>
      </c>
      <c r="I6" s="34" t="n">
        <v>2.67</v>
      </c>
    </row>
    <row r="7" customFormat="false" ht="13.8" hidden="false" customHeight="false" outlineLevel="0" collapsed="false">
      <c r="A7" s="35"/>
      <c r="B7" s="21" t="s">
        <v>48</v>
      </c>
      <c r="C7" s="72" t="n">
        <v>6</v>
      </c>
      <c r="D7" s="81" t="n">
        <v>1</v>
      </c>
      <c r="E7" s="72" t="n">
        <v>28</v>
      </c>
      <c r="F7" s="31" t="n">
        <f aca="false">C7/E7*100</f>
        <v>21.4285714285714</v>
      </c>
      <c r="G7" s="32" t="n">
        <v>7.75</v>
      </c>
      <c r="H7" s="33" t="n">
        <f aca="false">D7/E7*100</f>
        <v>3.57142857142857</v>
      </c>
      <c r="I7" s="34" t="n">
        <v>3.51</v>
      </c>
      <c r="J7" s="0" t="s">
        <v>60</v>
      </c>
    </row>
    <row r="8" customFormat="false" ht="13.8" hidden="false" customHeight="false" outlineLevel="0" collapsed="false">
      <c r="A8" s="45"/>
      <c r="B8" s="53" t="s">
        <v>50</v>
      </c>
      <c r="C8" s="54" t="n">
        <v>12</v>
      </c>
      <c r="D8" s="55" t="n">
        <v>3</v>
      </c>
      <c r="E8" s="72" t="n">
        <v>22</v>
      </c>
      <c r="F8" s="31" t="n">
        <f aca="false">C8/E8*100</f>
        <v>54.5454545454545</v>
      </c>
      <c r="G8" s="32" t="n">
        <v>10.21</v>
      </c>
      <c r="H8" s="33" t="n">
        <f aca="false">D8/E8*100</f>
        <v>13.6363636363636</v>
      </c>
      <c r="I8" s="34" t="n">
        <v>6.75</v>
      </c>
    </row>
    <row r="9" customFormat="false" ht="13.8" hidden="false" customHeight="false" outlineLevel="0" collapsed="false">
      <c r="A9" s="64" t="s">
        <v>61</v>
      </c>
      <c r="B9" s="61" t="s">
        <v>59</v>
      </c>
      <c r="C9" s="83" t="n">
        <v>2</v>
      </c>
      <c r="D9" s="84" t="n">
        <v>3</v>
      </c>
      <c r="E9" s="83" t="n">
        <v>24</v>
      </c>
      <c r="F9" s="85" t="n">
        <f aca="false">C9/E9*100</f>
        <v>8.33333333333333</v>
      </c>
      <c r="G9" s="86" t="n">
        <v>5.6417</v>
      </c>
      <c r="H9" s="87" t="n">
        <f aca="false">D9/E9*100</f>
        <v>12.5</v>
      </c>
      <c r="I9" s="88" t="n">
        <v>6.7508</v>
      </c>
    </row>
    <row r="10" customFormat="false" ht="13.8" hidden="false" customHeight="false" outlineLevel="0" collapsed="false">
      <c r="A10" s="35"/>
      <c r="B10" s="21" t="s">
        <v>48</v>
      </c>
      <c r="C10" s="72" t="n">
        <v>8</v>
      </c>
      <c r="D10" s="81" t="n">
        <v>3</v>
      </c>
      <c r="E10" s="72" t="n">
        <v>31</v>
      </c>
      <c r="F10" s="31" t="n">
        <f aca="false">C10/E10*100</f>
        <v>25.8064516129032</v>
      </c>
      <c r="G10" s="32" t="n">
        <v>7.859</v>
      </c>
      <c r="H10" s="33" t="n">
        <f aca="false">D10/E10*100</f>
        <v>9.67741935483871</v>
      </c>
      <c r="I10" s="34" t="n">
        <v>5.31</v>
      </c>
    </row>
    <row r="11" customFormat="false" ht="13.8" hidden="false" customHeight="false" outlineLevel="0" collapsed="false">
      <c r="A11" s="45"/>
      <c r="B11" s="53" t="s">
        <v>50</v>
      </c>
      <c r="C11" s="54" t="n">
        <v>7</v>
      </c>
      <c r="D11" s="55" t="n">
        <v>2</v>
      </c>
      <c r="E11" s="54" t="n">
        <v>23</v>
      </c>
      <c r="F11" s="89" t="n">
        <f aca="false">C11/E11*100</f>
        <v>30.4347826086957</v>
      </c>
      <c r="G11" s="51" t="n">
        <v>9.5944</v>
      </c>
      <c r="H11" s="90" t="n">
        <f aca="false">D11/E11*100</f>
        <v>8.69565217391304</v>
      </c>
      <c r="I11" s="52" t="n">
        <v>5.8753</v>
      </c>
    </row>
    <row r="13" customFormat="false" ht="13.8" hidden="false" customHeight="false" outlineLevel="0" collapsed="false">
      <c r="A13" s="0" t="s">
        <v>62</v>
      </c>
    </row>
    <row r="14" customFormat="false" ht="13.8" hidden="false" customHeight="false" outlineLevel="0" collapsed="false">
      <c r="A14" s="29"/>
      <c r="B14" s="29"/>
      <c r="C14" s="29"/>
      <c r="D14" s="29"/>
      <c r="E14" s="29"/>
      <c r="F14" s="29"/>
    </row>
    <row r="16" customFormat="false" ht="13.8" hidden="false" customHeight="true" outlineLevel="0" collapsed="false">
      <c r="A16" s="4" t="s">
        <v>1</v>
      </c>
      <c r="B16" s="4" t="s">
        <v>63</v>
      </c>
      <c r="C16" s="4" t="s">
        <v>64</v>
      </c>
      <c r="D16" s="4" t="s">
        <v>11</v>
      </c>
      <c r="E16" s="4" t="s">
        <v>65</v>
      </c>
      <c r="F16" s="91" t="s">
        <v>55</v>
      </c>
    </row>
    <row r="17" customFormat="false" ht="13.8" hidden="false" customHeight="false" outlineLevel="0" collapsed="false">
      <c r="A17" s="16"/>
      <c r="B17" s="16"/>
      <c r="C17" s="16" t="s">
        <v>66</v>
      </c>
      <c r="D17" s="16" t="s">
        <v>15</v>
      </c>
      <c r="E17" s="16" t="s">
        <v>67</v>
      </c>
      <c r="F17" s="91"/>
    </row>
    <row r="18" customFormat="false" ht="13.8" hidden="false" customHeight="false" outlineLevel="0" collapsed="false">
      <c r="A18" s="35" t="s">
        <v>68</v>
      </c>
      <c r="B18" s="29" t="s">
        <v>69</v>
      </c>
      <c r="C18" s="81" t="n">
        <v>31</v>
      </c>
      <c r="D18" s="81" t="n">
        <v>87</v>
      </c>
      <c r="E18" s="92" t="n">
        <f aca="false">C18/D18*100</f>
        <v>35.632183908046</v>
      </c>
      <c r="F18" s="34" t="n">
        <v>5.13</v>
      </c>
    </row>
    <row r="19" customFormat="false" ht="13.8" hidden="false" customHeight="false" outlineLevel="0" collapsed="false">
      <c r="A19" s="35"/>
      <c r="B19" s="29" t="s">
        <v>70</v>
      </c>
      <c r="C19" s="81" t="n">
        <v>25</v>
      </c>
      <c r="D19" s="81" t="n">
        <v>78</v>
      </c>
      <c r="E19" s="92" t="n">
        <f aca="false">C19/D19*100</f>
        <v>32.0512820512821</v>
      </c>
      <c r="F19" s="34" t="n">
        <v>5.284</v>
      </c>
    </row>
    <row r="20" customFormat="false" ht="13.8" hidden="false" customHeight="false" outlineLevel="0" collapsed="false">
      <c r="A20" s="45"/>
      <c r="B20" s="93" t="s">
        <v>71</v>
      </c>
      <c r="C20" s="55" t="n">
        <v>11</v>
      </c>
      <c r="D20" s="55" t="n">
        <v>386</v>
      </c>
      <c r="E20" s="52" t="n">
        <v>2.8497</v>
      </c>
      <c r="F20" s="52" t="n">
        <v>0.8469</v>
      </c>
    </row>
    <row r="22" customFormat="false" ht="14.9" hidden="false" customHeight="false" outlineLevel="0" collapsed="false">
      <c r="A22" s="94" t="s">
        <v>72</v>
      </c>
    </row>
    <row r="23" customFormat="false" ht="13.8" hidden="false" customHeight="false" outlineLevel="0" collapsed="false">
      <c r="A23" s="95" t="s">
        <v>73</v>
      </c>
      <c r="B23" s="95" t="s">
        <v>74</v>
      </c>
      <c r="C23" s="95" t="s">
        <v>64</v>
      </c>
      <c r="D23" s="95" t="s">
        <v>11</v>
      </c>
      <c r="E23" s="96" t="s">
        <v>75</v>
      </c>
      <c r="F23" s="96"/>
    </row>
    <row r="24" customFormat="false" ht="13.8" hidden="false" customHeight="false" outlineLevel="0" collapsed="false">
      <c r="A24" s="97"/>
      <c r="B24" s="97"/>
      <c r="C24" s="97" t="s">
        <v>66</v>
      </c>
      <c r="D24" s="97" t="s">
        <v>15</v>
      </c>
      <c r="E24" s="98"/>
      <c r="F24" s="98"/>
    </row>
    <row r="25" customFormat="false" ht="13.8" hidden="false" customHeight="false" outlineLevel="0" collapsed="false">
      <c r="A25" s="21" t="s">
        <v>76</v>
      </c>
      <c r="B25" s="99" t="s">
        <v>77</v>
      </c>
      <c r="C25" s="99" t="n">
        <v>2</v>
      </c>
      <c r="D25" s="99" t="n">
        <v>263</v>
      </c>
      <c r="E25" s="35" t="s">
        <v>78</v>
      </c>
      <c r="F25" s="29"/>
    </row>
    <row r="26" customFormat="false" ht="13.8" hidden="false" customHeight="false" outlineLevel="0" collapsed="false">
      <c r="A26" s="21"/>
      <c r="B26" s="99"/>
      <c r="C26" s="99"/>
      <c r="D26" s="99"/>
      <c r="E26" s="35"/>
      <c r="F26" s="29"/>
    </row>
    <row r="27" customFormat="false" ht="13.8" hidden="false" customHeight="false" outlineLevel="0" collapsed="false">
      <c r="A27" s="21" t="s">
        <v>79</v>
      </c>
      <c r="B27" s="99" t="s">
        <v>77</v>
      </c>
      <c r="C27" s="99" t="n">
        <v>0</v>
      </c>
      <c r="D27" s="99" t="n">
        <v>17</v>
      </c>
      <c r="E27" s="35" t="s">
        <v>80</v>
      </c>
      <c r="F27" s="29"/>
    </row>
    <row r="28" customFormat="false" ht="13.8" hidden="false" customHeight="false" outlineLevel="0" collapsed="false">
      <c r="A28" s="21"/>
      <c r="B28" s="99"/>
      <c r="C28" s="99"/>
      <c r="D28" s="99"/>
      <c r="E28" s="35"/>
      <c r="F28" s="29"/>
    </row>
    <row r="29" customFormat="false" ht="15" hidden="false" customHeight="true" outlineLevel="0" collapsed="false">
      <c r="A29" s="100" t="s">
        <v>81</v>
      </c>
      <c r="B29" s="101" t="s">
        <v>82</v>
      </c>
      <c r="C29" s="101" t="n">
        <v>9</v>
      </c>
      <c r="D29" s="101" t="n">
        <v>106</v>
      </c>
      <c r="E29" s="45" t="s">
        <v>78</v>
      </c>
      <c r="F29" s="46"/>
    </row>
    <row r="36" customFormat="false" ht="13.8" hidden="false" customHeight="false" outlineLevel="0" collapsed="false">
      <c r="G36" s="96"/>
      <c r="H36" s="102"/>
    </row>
    <row r="37" customFormat="false" ht="13.8" hidden="false" customHeight="false" outlineLevel="0" collapsed="false">
      <c r="G37" s="98"/>
      <c r="H37" s="103"/>
    </row>
    <row r="38" customFormat="false" ht="13.8" hidden="false" customHeight="false" outlineLevel="0" collapsed="false">
      <c r="G38" s="29"/>
      <c r="H38" s="104"/>
    </row>
    <row r="39" customFormat="false" ht="13.8" hidden="false" customHeight="false" outlineLevel="0" collapsed="false">
      <c r="G39" s="29"/>
      <c r="H39" s="104"/>
    </row>
    <row r="40" customFormat="false" ht="13.8" hidden="false" customHeight="false" outlineLevel="0" collapsed="false">
      <c r="G40" s="29"/>
      <c r="H40" s="104"/>
    </row>
    <row r="41" customFormat="false" ht="13.8" hidden="false" customHeight="false" outlineLevel="0" collapsed="false">
      <c r="G41" s="29"/>
      <c r="H41" s="104"/>
    </row>
    <row r="42" customFormat="false" ht="13.8" hidden="false" customHeight="false" outlineLevel="0" collapsed="false">
      <c r="G42" s="46"/>
      <c r="H42" s="105"/>
    </row>
  </sheetData>
  <mergeCells count="3">
    <mergeCell ref="G4:G5"/>
    <mergeCell ref="I4:I5"/>
    <mergeCell ref="F16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1048576"/>
  <sheetViews>
    <sheetView showFormulas="false" showGridLines="true" showRowColHeaders="true" showZeros="true" rightToLeft="false" tabSelected="false" showOutlineSymbols="true" defaultGridColor="true" view="normal" topLeftCell="A493" colorId="64" zoomScale="130" zoomScaleNormal="130" zoomScalePageLayoutView="100" workbookViewId="0">
      <selection pane="topLeft" activeCell="A319" activeCellId="0" sqref="A31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9.12"/>
    <col collapsed="false" customWidth="true" hidden="false" outlineLevel="0" max="2" min="2" style="0" width="18.57"/>
    <col collapsed="false" customWidth="true" hidden="false" outlineLevel="0" max="3" min="3" style="0" width="24.43"/>
    <col collapsed="false" customWidth="true" hidden="false" outlineLevel="0" max="4" min="4" style="0" width="15.57"/>
    <col collapsed="false" customWidth="true" hidden="false" outlineLevel="0" max="5" min="5" style="0" width="18.85"/>
    <col collapsed="false" customWidth="true" hidden="false" outlineLevel="0" max="6" min="6" style="0" width="18.74"/>
    <col collapsed="false" customWidth="true" hidden="false" outlineLevel="0" max="7" min="7" style="0" width="12.43"/>
    <col collapsed="false" customWidth="true" hidden="false" outlineLevel="0" max="8" min="8" style="0" width="14.14"/>
    <col collapsed="false" customWidth="true" hidden="false" outlineLevel="0" max="9" min="9" style="0" width="12.71"/>
    <col collapsed="false" customWidth="true" hidden="false" outlineLevel="0" max="10" min="10" style="0" width="20"/>
    <col collapsed="false" customWidth="true" hidden="false" outlineLevel="0" max="12" min="12" style="0" width="16.85"/>
    <col collapsed="false" customWidth="true" hidden="false" outlineLevel="0" max="18" min="18" style="0" width="17.85"/>
    <col collapsed="false" customWidth="true" hidden="false" outlineLevel="0" max="19" min="19" style="0" width="13.28"/>
    <col collapsed="false" customWidth="true" hidden="false" outlineLevel="0" max="21" min="21" style="0" width="13.14"/>
  </cols>
  <sheetData>
    <row r="2" customFormat="false" ht="13.8" hidden="false" customHeight="false" outlineLevel="0" collapsed="false">
      <c r="A2" s="106" t="s">
        <v>83</v>
      </c>
      <c r="B2" s="2"/>
      <c r="C2" s="2"/>
      <c r="D2" s="2"/>
      <c r="E2" s="2"/>
    </row>
    <row r="3" customFormat="false" ht="36" hidden="false" customHeight="true" outlineLevel="0" collapsed="false">
      <c r="A3" s="107" t="s">
        <v>84</v>
      </c>
      <c r="B3" s="5" t="s">
        <v>85</v>
      </c>
      <c r="C3" s="108" t="s">
        <v>86</v>
      </c>
      <c r="D3" s="108" t="s">
        <v>87</v>
      </c>
      <c r="E3" s="109" t="s">
        <v>88</v>
      </c>
    </row>
    <row r="4" customFormat="false" ht="13.8" hidden="false" customHeight="false" outlineLevel="0" collapsed="false">
      <c r="A4" s="107"/>
      <c r="B4" s="110" t="s">
        <v>89</v>
      </c>
      <c r="C4" s="111" t="n">
        <v>18</v>
      </c>
      <c r="D4" s="112" t="n">
        <v>0</v>
      </c>
      <c r="E4" s="113" t="n">
        <v>2</v>
      </c>
    </row>
    <row r="5" customFormat="false" ht="13.8" hidden="false" customHeight="false" outlineLevel="0" collapsed="false">
      <c r="A5" s="107"/>
      <c r="B5" s="114" t="s">
        <v>90</v>
      </c>
      <c r="C5" s="111" t="n">
        <v>14</v>
      </c>
      <c r="D5" s="112" t="n">
        <v>3</v>
      </c>
      <c r="E5" s="113" t="n">
        <v>3</v>
      </c>
    </row>
    <row r="6" customFormat="false" ht="13.8" hidden="false" customHeight="false" outlineLevel="0" collapsed="false">
      <c r="A6" s="107"/>
      <c r="B6" s="114" t="s">
        <v>91</v>
      </c>
      <c r="C6" s="111" t="n">
        <v>20</v>
      </c>
      <c r="D6" s="112" t="n">
        <v>0</v>
      </c>
      <c r="E6" s="113" t="n">
        <v>0</v>
      </c>
    </row>
    <row r="7" customFormat="false" ht="13.8" hidden="false" customHeight="false" outlineLevel="0" collapsed="false">
      <c r="A7" s="107"/>
      <c r="B7" s="115" t="s">
        <v>92</v>
      </c>
      <c r="C7" s="111" t="n">
        <v>20</v>
      </c>
      <c r="D7" s="112" t="n">
        <v>5</v>
      </c>
      <c r="E7" s="113" t="n">
        <v>0</v>
      </c>
    </row>
    <row r="10" customFormat="false" ht="13.8" hidden="false" customHeight="false" outlineLevel="0" collapsed="false">
      <c r="A10" s="106" t="s">
        <v>93</v>
      </c>
      <c r="B10" s="116"/>
      <c r="C10" s="116"/>
      <c r="D10" s="116"/>
      <c r="E10" s="116"/>
      <c r="F10" s="116"/>
    </row>
    <row r="11" customFormat="false" ht="28.35" hidden="false" customHeight="false" outlineLevel="0" collapsed="false">
      <c r="A11" s="117" t="s">
        <v>94</v>
      </c>
      <c r="B11" s="5" t="s">
        <v>85</v>
      </c>
      <c r="C11" s="108" t="s">
        <v>95</v>
      </c>
      <c r="D11" s="108" t="s">
        <v>96</v>
      </c>
      <c r="E11" s="108" t="s">
        <v>97</v>
      </c>
      <c r="F11" s="109" t="s">
        <v>98</v>
      </c>
    </row>
    <row r="12" customFormat="false" ht="13.8" hidden="false" customHeight="false" outlineLevel="0" collapsed="false">
      <c r="A12" s="117"/>
      <c r="B12" s="110" t="s">
        <v>99</v>
      </c>
      <c r="C12" s="111" t="n">
        <v>5</v>
      </c>
      <c r="D12" s="112" t="n">
        <v>16</v>
      </c>
      <c r="E12" s="118" t="n">
        <v>5</v>
      </c>
      <c r="F12" s="113" t="n">
        <v>39.96</v>
      </c>
    </row>
    <row r="13" customFormat="false" ht="13.8" hidden="false" customHeight="false" outlineLevel="0" collapsed="false">
      <c r="A13" s="117"/>
      <c r="B13" s="115" t="s">
        <v>100</v>
      </c>
      <c r="C13" s="111" t="n">
        <v>3</v>
      </c>
      <c r="D13" s="112" t="n">
        <v>15</v>
      </c>
      <c r="E13" s="118" t="n">
        <v>5</v>
      </c>
      <c r="F13" s="113" t="n">
        <v>39.78</v>
      </c>
    </row>
    <row r="16" customFormat="false" ht="13.8" hidden="false" customHeight="false" outlineLevel="0" collapsed="false">
      <c r="A16" s="106" t="s">
        <v>101</v>
      </c>
      <c r="B16" s="106"/>
      <c r="C16" s="116"/>
      <c r="D16" s="116"/>
      <c r="E16" s="116"/>
      <c r="F16" s="116"/>
    </row>
    <row r="17" customFormat="false" ht="13.8" hidden="false" customHeight="false" outlineLevel="0" collapsed="false">
      <c r="A17" s="117" t="s">
        <v>102</v>
      </c>
      <c r="B17" s="119"/>
      <c r="C17" s="120" t="s">
        <v>103</v>
      </c>
      <c r="D17" s="120"/>
      <c r="E17" s="120"/>
      <c r="F17" s="120"/>
    </row>
    <row r="18" customFormat="false" ht="13.8" hidden="false" customHeight="false" outlineLevel="0" collapsed="false">
      <c r="A18" s="117"/>
      <c r="B18" s="119"/>
      <c r="C18" s="121" t="s">
        <v>104</v>
      </c>
      <c r="D18" s="122" t="s">
        <v>105</v>
      </c>
      <c r="E18" s="122" t="s">
        <v>106</v>
      </c>
      <c r="F18" s="123" t="s">
        <v>107</v>
      </c>
    </row>
    <row r="19" customFormat="false" ht="13.8" hidden="false" customHeight="false" outlineLevel="0" collapsed="false">
      <c r="A19" s="117"/>
      <c r="B19" s="65" t="s">
        <v>32</v>
      </c>
      <c r="C19" s="124" t="n">
        <v>8</v>
      </c>
      <c r="D19" s="125" t="n">
        <v>19</v>
      </c>
      <c r="E19" s="125" t="n">
        <v>9</v>
      </c>
      <c r="F19" s="126" t="n">
        <v>0</v>
      </c>
    </row>
    <row r="20" customFormat="false" ht="13.8" hidden="false" customHeight="false" outlineLevel="0" collapsed="false">
      <c r="A20" s="117"/>
      <c r="B20" s="39" t="s">
        <v>40</v>
      </c>
      <c r="C20" s="124" t="n">
        <v>906</v>
      </c>
      <c r="D20" s="125" t="n">
        <v>573</v>
      </c>
      <c r="E20" s="125" t="n">
        <v>297</v>
      </c>
      <c r="F20" s="126" t="n">
        <v>17</v>
      </c>
    </row>
    <row r="21" customFormat="false" ht="13.8" hidden="false" customHeight="false" outlineLevel="0" collapsed="false">
      <c r="A21" s="117"/>
      <c r="B21" s="39" t="s">
        <v>108</v>
      </c>
      <c r="C21" s="124" t="n">
        <v>1677</v>
      </c>
      <c r="D21" s="125" t="n">
        <v>133</v>
      </c>
      <c r="E21" s="125" t="n">
        <v>1510</v>
      </c>
      <c r="F21" s="126" t="n">
        <v>753</v>
      </c>
    </row>
    <row r="22" customFormat="false" ht="13.8" hidden="false" customHeight="false" outlineLevel="0" collapsed="false">
      <c r="A22" s="117"/>
      <c r="B22" s="46" t="s">
        <v>109</v>
      </c>
      <c r="C22" s="124" t="n">
        <v>179</v>
      </c>
      <c r="D22" s="125" t="n">
        <v>140</v>
      </c>
      <c r="E22" s="125" t="n">
        <v>953</v>
      </c>
      <c r="F22" s="126" t="n">
        <v>889</v>
      </c>
    </row>
    <row r="24" customFormat="false" ht="13.8" hidden="false" customHeight="false" outlineLevel="0" collapsed="false">
      <c r="A24" s="0" t="s">
        <v>110</v>
      </c>
    </row>
    <row r="25" customFormat="false" ht="13.8" hidden="false" customHeight="false" outlineLevel="0" collapsed="false">
      <c r="B25" s="0" t="s">
        <v>111</v>
      </c>
      <c r="C25" s="0" t="s">
        <v>112</v>
      </c>
    </row>
    <row r="26" customFormat="false" ht="13.8" hidden="false" customHeight="false" outlineLevel="0" collapsed="false">
      <c r="A26" s="0" t="s">
        <v>113</v>
      </c>
      <c r="B26" s="0" t="n">
        <v>0.00664219473626184</v>
      </c>
      <c r="C26" s="0" t="n">
        <v>0.0199265842087855</v>
      </c>
    </row>
    <row r="27" customFormat="false" ht="13.8" hidden="false" customHeight="false" outlineLevel="0" collapsed="false">
      <c r="A27" s="0" t="s">
        <v>114</v>
      </c>
      <c r="B27" s="0" t="n">
        <v>8.06431842203703E-290</v>
      </c>
      <c r="C27" s="0" t="n">
        <v>2.41929552661111E-289</v>
      </c>
    </row>
    <row r="28" customFormat="false" ht="13.8" hidden="false" customHeight="false" outlineLevel="0" collapsed="false">
      <c r="A28" s="0" t="s">
        <v>115</v>
      </c>
      <c r="B28" s="0" t="n">
        <v>1.53579449946134E-181</v>
      </c>
      <c r="C28" s="0" t="n">
        <v>4.60738349838401E-181</v>
      </c>
    </row>
    <row r="30" customFormat="false" ht="13.8" hidden="false" customHeight="false" outlineLevel="0" collapsed="false">
      <c r="A30" s="0" t="s">
        <v>116</v>
      </c>
    </row>
    <row r="31" customFormat="false" ht="13.8" hidden="false" customHeight="false" outlineLevel="0" collapsed="false">
      <c r="A31" s="0" t="s">
        <v>117</v>
      </c>
      <c r="B31" s="0" t="s">
        <v>118</v>
      </c>
      <c r="C31" s="0" t="s">
        <v>111</v>
      </c>
      <c r="D31" s="0" t="s">
        <v>112</v>
      </c>
    </row>
    <row r="32" customFormat="false" ht="13.8" hidden="false" customHeight="false" outlineLevel="0" collapsed="false">
      <c r="A32" s="0" t="s">
        <v>119</v>
      </c>
      <c r="B32" s="0" t="s">
        <v>120</v>
      </c>
      <c r="C32" s="0" t="n">
        <v>1.88282003831427E-248</v>
      </c>
      <c r="D32" s="0" t="n">
        <v>4.51876809195425E-247</v>
      </c>
    </row>
    <row r="33" customFormat="false" ht="13.8" hidden="false" customHeight="false" outlineLevel="0" collapsed="false">
      <c r="A33" s="0" t="s">
        <v>121</v>
      </c>
      <c r="B33" s="0" t="s">
        <v>120</v>
      </c>
      <c r="C33" s="0" t="n">
        <v>3.93052609094901E-203</v>
      </c>
      <c r="D33" s="0" t="n">
        <v>9.43326261827762E-202</v>
      </c>
    </row>
    <row r="34" customFormat="false" ht="13.8" hidden="false" customHeight="false" outlineLevel="0" collapsed="false">
      <c r="A34" s="0" t="s">
        <v>122</v>
      </c>
      <c r="B34" s="0" t="s">
        <v>123</v>
      </c>
      <c r="C34" s="0" t="n">
        <v>2.85251963787313E-196</v>
      </c>
      <c r="D34" s="0" t="n">
        <v>6.84604713089552E-195</v>
      </c>
    </row>
    <row r="35" customFormat="false" ht="13.8" hidden="false" customHeight="false" outlineLevel="0" collapsed="false">
      <c r="A35" s="0" t="s">
        <v>121</v>
      </c>
      <c r="B35" s="0" t="s">
        <v>124</v>
      </c>
      <c r="C35" s="0" t="n">
        <v>5.45435577980171E-184</v>
      </c>
      <c r="D35" s="0" t="n">
        <v>1.30904538715241E-182</v>
      </c>
    </row>
    <row r="36" customFormat="false" ht="13.8" hidden="false" customHeight="false" outlineLevel="0" collapsed="false">
      <c r="A36" s="0" t="s">
        <v>119</v>
      </c>
      <c r="B36" s="0" t="s">
        <v>123</v>
      </c>
      <c r="C36" s="0" t="n">
        <v>1.8896557046267E-103</v>
      </c>
      <c r="D36" s="0" t="n">
        <v>4.53517369110408E-102</v>
      </c>
    </row>
    <row r="37" customFormat="false" ht="13.8" hidden="false" customHeight="false" outlineLevel="0" collapsed="false">
      <c r="A37" s="0" t="s">
        <v>122</v>
      </c>
      <c r="B37" s="0" t="s">
        <v>120</v>
      </c>
      <c r="C37" s="0" t="n">
        <v>3.46440254458191E-099</v>
      </c>
      <c r="D37" s="0" t="n">
        <v>8.31456610699658E-098</v>
      </c>
    </row>
    <row r="38" customFormat="false" ht="13.8" hidden="false" customHeight="false" outlineLevel="0" collapsed="false">
      <c r="A38" s="0" t="s">
        <v>119</v>
      </c>
      <c r="B38" s="0" t="s">
        <v>124</v>
      </c>
      <c r="C38" s="0" t="n">
        <v>1.46200331326151E-080</v>
      </c>
      <c r="D38" s="0" t="n">
        <v>3.50880795182762E-079</v>
      </c>
    </row>
    <row r="39" customFormat="false" ht="13.8" hidden="false" customHeight="false" outlineLevel="0" collapsed="false">
      <c r="A39" s="0" t="s">
        <v>125</v>
      </c>
      <c r="B39" s="0" t="s">
        <v>120</v>
      </c>
      <c r="C39" s="0" t="n">
        <v>7.5433650531739E-080</v>
      </c>
      <c r="D39" s="0" t="n">
        <v>1.81040761276174E-078</v>
      </c>
    </row>
    <row r="40" customFormat="false" ht="13.8" hidden="false" customHeight="false" outlineLevel="0" collapsed="false">
      <c r="A40" s="0" t="s">
        <v>125</v>
      </c>
      <c r="B40" s="0" t="s">
        <v>123</v>
      </c>
      <c r="C40" s="0" t="n">
        <v>2.97837307028204E-059</v>
      </c>
      <c r="D40" s="0" t="n">
        <v>7.14809536867689E-058</v>
      </c>
    </row>
    <row r="41" customFormat="false" ht="13.8" hidden="false" customHeight="false" outlineLevel="0" collapsed="false">
      <c r="A41" s="0" t="s">
        <v>122</v>
      </c>
      <c r="B41" s="0" t="s">
        <v>126</v>
      </c>
      <c r="C41" s="0" t="n">
        <v>1.01122684752288E-018</v>
      </c>
      <c r="D41" s="0" t="n">
        <v>2.42694443405492E-017</v>
      </c>
    </row>
    <row r="42" customFormat="false" ht="13.8" hidden="false" customHeight="false" outlineLevel="0" collapsed="false">
      <c r="A42" s="0" t="s">
        <v>122</v>
      </c>
      <c r="B42" s="0" t="s">
        <v>127</v>
      </c>
      <c r="C42" s="0" t="n">
        <v>2.2258609E-013</v>
      </c>
      <c r="D42" s="0" t="n">
        <v>5.34206605E-012</v>
      </c>
    </row>
    <row r="43" customFormat="false" ht="13.8" hidden="false" customHeight="false" outlineLevel="0" collapsed="false">
      <c r="A43" s="0" t="s">
        <v>121</v>
      </c>
      <c r="B43" s="0" t="s">
        <v>123</v>
      </c>
      <c r="C43" s="0" t="n">
        <v>3.390230131E-011</v>
      </c>
      <c r="D43" s="0" t="n">
        <v>8.1365523144E-010</v>
      </c>
    </row>
    <row r="44" customFormat="false" ht="13.8" hidden="false" customHeight="false" outlineLevel="0" collapsed="false">
      <c r="A44" s="0" t="s">
        <v>119</v>
      </c>
      <c r="B44" s="0" t="s">
        <v>127</v>
      </c>
      <c r="C44" s="0" t="n">
        <v>8.01609799444E-009</v>
      </c>
      <c r="D44" s="0" t="n">
        <v>1.9238635186665E-007</v>
      </c>
    </row>
    <row r="45" customFormat="false" ht="13.8" hidden="false" customHeight="false" outlineLevel="0" collapsed="false">
      <c r="A45" s="0" t="s">
        <v>122</v>
      </c>
      <c r="B45" s="0" t="s">
        <v>124</v>
      </c>
      <c r="C45" s="0" t="n">
        <v>1.103931765349E-008</v>
      </c>
      <c r="D45" s="0" t="n">
        <v>2.649436236838E-007</v>
      </c>
    </row>
    <row r="46" customFormat="false" ht="13.8" hidden="false" customHeight="false" outlineLevel="0" collapsed="false">
      <c r="A46" s="0" t="s">
        <v>125</v>
      </c>
      <c r="B46" s="0" t="s">
        <v>124</v>
      </c>
      <c r="C46" s="0" t="n">
        <v>8.078551751463E-008</v>
      </c>
      <c r="D46" s="0" t="n">
        <v>1.9388524203511E-006</v>
      </c>
    </row>
    <row r="47" customFormat="false" ht="13.8" hidden="false" customHeight="false" outlineLevel="0" collapsed="false">
      <c r="A47" s="0" t="s">
        <v>119</v>
      </c>
      <c r="B47" s="0" t="s">
        <v>126</v>
      </c>
      <c r="C47" s="0" t="n">
        <v>0.000919369533691913</v>
      </c>
      <c r="D47" s="0" t="n">
        <v>0.0220648688086059</v>
      </c>
    </row>
    <row r="48" customFormat="false" ht="13.8" hidden="false" customHeight="false" outlineLevel="0" collapsed="false">
      <c r="A48" s="0" t="s">
        <v>121</v>
      </c>
      <c r="B48" s="0" t="s">
        <v>128</v>
      </c>
      <c r="C48" s="0" t="n">
        <v>0.00106963662550295</v>
      </c>
      <c r="D48" s="0" t="n">
        <v>0.0256712790120708</v>
      </c>
    </row>
    <row r="49" customFormat="false" ht="13.8" hidden="false" customHeight="false" outlineLevel="0" collapsed="false">
      <c r="A49" s="0" t="s">
        <v>121</v>
      </c>
      <c r="B49" s="0" t="s">
        <v>127</v>
      </c>
      <c r="C49" s="0" t="n">
        <v>0.00895413144151737</v>
      </c>
      <c r="D49" s="0" t="n">
        <v>0.214899154596417</v>
      </c>
    </row>
    <row r="50" customFormat="false" ht="13.8" hidden="false" customHeight="false" outlineLevel="0" collapsed="false">
      <c r="A50" s="0" t="s">
        <v>122</v>
      </c>
      <c r="B50" s="0" t="s">
        <v>128</v>
      </c>
      <c r="C50" s="0" t="n">
        <v>0.0111968364849181</v>
      </c>
      <c r="D50" s="0" t="n">
        <v>0.268724075638035</v>
      </c>
    </row>
    <row r="51" customFormat="false" ht="13.8" hidden="false" customHeight="false" outlineLevel="0" collapsed="false">
      <c r="A51" s="0" t="s">
        <v>121</v>
      </c>
      <c r="B51" s="0" t="s">
        <v>126</v>
      </c>
      <c r="C51" s="0" t="n">
        <v>0.0257616780238876</v>
      </c>
      <c r="D51" s="0" t="n">
        <v>0.618280272573303</v>
      </c>
    </row>
    <row r="52" customFormat="false" ht="13.8" hidden="false" customHeight="false" outlineLevel="0" collapsed="false">
      <c r="A52" s="0" t="s">
        <v>125</v>
      </c>
      <c r="B52" s="0" t="s">
        <v>127</v>
      </c>
      <c r="C52" s="0" t="n">
        <v>0.026630820185986</v>
      </c>
      <c r="D52" s="0" t="n">
        <v>0.639139684463665</v>
      </c>
    </row>
    <row r="53" customFormat="false" ht="13.8" hidden="false" customHeight="false" outlineLevel="0" collapsed="false">
      <c r="A53" s="0" t="s">
        <v>125</v>
      </c>
      <c r="B53" s="0" t="s">
        <v>128</v>
      </c>
      <c r="C53" s="0" t="n">
        <v>0.17807006189048</v>
      </c>
      <c r="D53" s="0" t="n">
        <v>1</v>
      </c>
    </row>
    <row r="54" customFormat="false" ht="13.8" hidden="false" customHeight="false" outlineLevel="0" collapsed="false">
      <c r="A54" s="0" t="s">
        <v>125</v>
      </c>
      <c r="B54" s="0" t="s">
        <v>126</v>
      </c>
      <c r="C54" s="0" t="n">
        <v>0.16561446930108</v>
      </c>
      <c r="D54" s="0" t="n">
        <v>1</v>
      </c>
    </row>
    <row r="55" customFormat="false" ht="13.8" hidden="false" customHeight="false" outlineLevel="0" collapsed="false">
      <c r="A55" s="0" t="s">
        <v>119</v>
      </c>
      <c r="B55" s="0" t="s">
        <v>128</v>
      </c>
      <c r="C55" s="0" t="n">
        <v>1</v>
      </c>
      <c r="D55" s="0" t="n">
        <v>1</v>
      </c>
    </row>
    <row r="58" customFormat="false" ht="13.8" hidden="false" customHeight="false" outlineLevel="0" collapsed="false">
      <c r="A58" s="106" t="s">
        <v>129</v>
      </c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</row>
    <row r="59" customFormat="false" ht="13.8" hidden="false" customHeight="false" outlineLevel="0" collapsed="false">
      <c r="A59" s="127"/>
      <c r="B59" s="128"/>
      <c r="C59" s="39"/>
      <c r="D59" s="129"/>
      <c r="E59" s="129"/>
      <c r="F59" s="130"/>
      <c r="G59" s="129"/>
      <c r="H59" s="129"/>
      <c r="I59" s="130"/>
      <c r="J59" s="129"/>
      <c r="K59" s="129"/>
      <c r="L59" s="130"/>
    </row>
    <row r="60" customFormat="false" ht="28.35" hidden="false" customHeight="false" outlineLevel="0" collapsed="false">
      <c r="A60" s="131" t="s">
        <v>1</v>
      </c>
      <c r="B60" s="4" t="s">
        <v>130</v>
      </c>
      <c r="C60" s="132" t="s">
        <v>131</v>
      </c>
      <c r="D60" s="133" t="s">
        <v>10</v>
      </c>
      <c r="E60" s="134" t="s">
        <v>132</v>
      </c>
      <c r="F60" s="130"/>
      <c r="G60" s="129"/>
      <c r="H60" s="129"/>
      <c r="I60" s="130"/>
      <c r="J60" s="129"/>
      <c r="K60" s="129"/>
      <c r="L60" s="130"/>
    </row>
    <row r="61" customFormat="false" ht="13.8" hidden="false" customHeight="false" outlineLevel="0" collapsed="false">
      <c r="A61" s="60" t="s">
        <v>17</v>
      </c>
      <c r="B61" s="64" t="s">
        <v>133</v>
      </c>
      <c r="C61" s="135" t="n">
        <v>0.02854375</v>
      </c>
      <c r="D61" s="136" t="n">
        <v>0.86</v>
      </c>
      <c r="E61" s="137" t="n">
        <v>16</v>
      </c>
      <c r="F61" s="130"/>
      <c r="G61" s="129"/>
      <c r="H61" s="129"/>
      <c r="I61" s="130"/>
      <c r="J61" s="129"/>
      <c r="K61" s="129"/>
      <c r="L61" s="130"/>
    </row>
    <row r="62" customFormat="false" ht="13.8" hidden="false" customHeight="false" outlineLevel="0" collapsed="false">
      <c r="A62" s="35"/>
      <c r="B62" s="35" t="s">
        <v>134</v>
      </c>
      <c r="C62" s="138" t="n">
        <v>0.0175</v>
      </c>
      <c r="D62" s="37" t="n">
        <v>0.48</v>
      </c>
      <c r="E62" s="99" t="n">
        <v>16</v>
      </c>
      <c r="F62" s="130"/>
      <c r="G62" s="129"/>
      <c r="H62" s="129"/>
      <c r="I62" s="130"/>
      <c r="J62" s="129"/>
      <c r="K62" s="129"/>
      <c r="L62" s="130"/>
    </row>
    <row r="63" customFormat="false" ht="13.8" hidden="false" customHeight="false" outlineLevel="0" collapsed="false">
      <c r="A63" s="45"/>
      <c r="B63" s="45" t="s">
        <v>135</v>
      </c>
      <c r="C63" s="139" t="n">
        <v>0.0145</v>
      </c>
      <c r="D63" s="140" t="n">
        <v>0.77</v>
      </c>
      <c r="E63" s="101" t="n">
        <v>9</v>
      </c>
      <c r="F63" s="130"/>
      <c r="G63" s="129"/>
      <c r="H63" s="129"/>
      <c r="I63" s="130"/>
      <c r="J63" s="129"/>
      <c r="K63" s="129"/>
      <c r="L63" s="130"/>
    </row>
    <row r="64" customFormat="false" ht="13.8" hidden="false" customHeight="false" outlineLevel="0" collapsed="false">
      <c r="F64" s="130"/>
      <c r="G64" s="129"/>
      <c r="H64" s="129"/>
      <c r="I64" s="130"/>
      <c r="J64" s="129"/>
      <c r="K64" s="129"/>
      <c r="L64" s="130"/>
    </row>
    <row r="65" customFormat="false" ht="28.35" hidden="false" customHeight="false" outlineLevel="0" collapsed="false">
      <c r="A65" s="131" t="s">
        <v>1</v>
      </c>
      <c r="B65" s="4" t="s">
        <v>136</v>
      </c>
      <c r="C65" s="132" t="s">
        <v>131</v>
      </c>
      <c r="D65" s="133" t="s">
        <v>10</v>
      </c>
      <c r="E65" s="134" t="s">
        <v>132</v>
      </c>
      <c r="F65" s="130"/>
      <c r="G65" s="129"/>
      <c r="H65" s="129"/>
      <c r="I65" s="130"/>
      <c r="J65" s="129"/>
      <c r="K65" s="129"/>
      <c r="L65" s="130"/>
    </row>
    <row r="66" customFormat="false" ht="13.8" hidden="false" customHeight="false" outlineLevel="0" collapsed="false">
      <c r="A66" s="60" t="s">
        <v>45</v>
      </c>
      <c r="B66" s="64" t="s">
        <v>133</v>
      </c>
      <c r="C66" s="135" t="n">
        <v>0.051</v>
      </c>
      <c r="D66" s="141" t="n">
        <v>1</v>
      </c>
      <c r="E66" s="137" t="n">
        <v>7</v>
      </c>
      <c r="F66" s="130"/>
      <c r="G66" s="129"/>
      <c r="H66" s="129"/>
      <c r="I66" s="130"/>
      <c r="J66" s="129"/>
      <c r="K66" s="129"/>
      <c r="L66" s="130"/>
    </row>
    <row r="67" customFormat="false" ht="13.8" hidden="false" customHeight="false" outlineLevel="0" collapsed="false">
      <c r="A67" s="35"/>
      <c r="B67" s="35" t="s">
        <v>134</v>
      </c>
      <c r="C67" s="138" t="n">
        <v>0.0493</v>
      </c>
      <c r="D67" s="37" t="n">
        <v>0.9</v>
      </c>
      <c r="E67" s="99" t="n">
        <v>7</v>
      </c>
      <c r="F67" s="130"/>
      <c r="G67" s="129"/>
      <c r="H67" s="129"/>
      <c r="I67" s="130"/>
      <c r="J67" s="129"/>
      <c r="K67" s="129"/>
      <c r="L67" s="130"/>
    </row>
    <row r="68" customFormat="false" ht="13.8" hidden="false" customHeight="false" outlineLevel="0" collapsed="false">
      <c r="A68" s="45"/>
      <c r="B68" s="45" t="s">
        <v>135</v>
      </c>
      <c r="C68" s="139" t="n">
        <v>0.0392</v>
      </c>
      <c r="D68" s="140" t="n">
        <v>0.7</v>
      </c>
      <c r="E68" s="101" t="n">
        <v>7</v>
      </c>
      <c r="F68" s="130"/>
      <c r="G68" s="129"/>
      <c r="H68" s="129"/>
      <c r="I68" s="130"/>
      <c r="J68" s="129"/>
      <c r="K68" s="129"/>
      <c r="L68" s="130"/>
    </row>
    <row r="69" customFormat="false" ht="13.8" hidden="false" customHeight="false" outlineLevel="0" collapsed="false">
      <c r="F69" s="130"/>
      <c r="G69" s="129"/>
      <c r="H69" s="129"/>
      <c r="I69" s="130"/>
      <c r="J69" s="129"/>
      <c r="K69" s="129"/>
      <c r="L69" s="130"/>
    </row>
    <row r="70" customFormat="false" ht="28.35" hidden="false" customHeight="false" outlineLevel="0" collapsed="false">
      <c r="A70" s="131" t="s">
        <v>1</v>
      </c>
      <c r="B70" s="4" t="s">
        <v>137</v>
      </c>
      <c r="C70" s="132" t="s">
        <v>131</v>
      </c>
      <c r="D70" s="133" t="s">
        <v>10</v>
      </c>
      <c r="E70" s="134" t="s">
        <v>132</v>
      </c>
      <c r="F70" s="130"/>
      <c r="G70" s="129"/>
      <c r="H70" s="129"/>
      <c r="I70" s="130"/>
      <c r="J70" s="129"/>
      <c r="K70" s="129"/>
      <c r="L70" s="130"/>
    </row>
    <row r="71" customFormat="false" ht="13.8" hidden="false" customHeight="false" outlineLevel="0" collapsed="false">
      <c r="A71" s="60" t="s">
        <v>47</v>
      </c>
      <c r="B71" s="64" t="s">
        <v>133</v>
      </c>
      <c r="C71" s="135" t="n">
        <v>0.0515</v>
      </c>
      <c r="D71" s="136" t="n">
        <v>0.66</v>
      </c>
      <c r="E71" s="137" t="n">
        <v>6</v>
      </c>
      <c r="F71" s="130"/>
      <c r="G71" s="129"/>
      <c r="H71" s="129"/>
      <c r="I71" s="130"/>
      <c r="J71" s="129"/>
      <c r="K71" s="129"/>
      <c r="L71" s="130"/>
    </row>
    <row r="72" customFormat="false" ht="13.8" hidden="false" customHeight="false" outlineLevel="0" collapsed="false">
      <c r="A72" s="35"/>
      <c r="B72" s="35" t="s">
        <v>134</v>
      </c>
      <c r="C72" s="138" t="n">
        <v>0.0667</v>
      </c>
      <c r="D72" s="37" t="n">
        <v>0.94</v>
      </c>
      <c r="E72" s="99" t="n">
        <v>5</v>
      </c>
      <c r="F72" s="130"/>
      <c r="G72" s="129"/>
      <c r="H72" s="129"/>
      <c r="I72" s="130"/>
      <c r="J72" s="129"/>
      <c r="K72" s="129"/>
      <c r="L72" s="130"/>
    </row>
    <row r="73" customFormat="false" ht="13.8" hidden="false" customHeight="false" outlineLevel="0" collapsed="false">
      <c r="A73" s="45"/>
      <c r="B73" s="45" t="s">
        <v>135</v>
      </c>
      <c r="C73" s="139" t="n">
        <v>0.0473</v>
      </c>
      <c r="D73" s="140" t="n">
        <v>0.99</v>
      </c>
      <c r="E73" s="101" t="n">
        <v>5</v>
      </c>
      <c r="F73" s="130"/>
      <c r="G73" s="129"/>
      <c r="H73" s="129"/>
      <c r="I73" s="130"/>
      <c r="J73" s="129"/>
      <c r="K73" s="129"/>
      <c r="L73" s="130"/>
    </row>
    <row r="74" customFormat="false" ht="13.8" hidden="false" customHeight="false" outlineLevel="0" collapsed="false">
      <c r="A74" s="127"/>
      <c r="B74" s="128"/>
      <c r="C74" s="39"/>
      <c r="D74" s="129"/>
      <c r="E74" s="129"/>
      <c r="F74" s="130"/>
      <c r="G74" s="129"/>
      <c r="H74" s="129"/>
      <c r="I74" s="130"/>
      <c r="J74" s="129"/>
      <c r="K74" s="129"/>
      <c r="L74" s="130"/>
    </row>
    <row r="76" customFormat="false" ht="13.8" hidden="false" customHeight="false" outlineLevel="0" collapsed="false">
      <c r="A76" s="131" t="s">
        <v>1</v>
      </c>
      <c r="B76" s="134" t="s">
        <v>137</v>
      </c>
      <c r="C76" s="120" t="s">
        <v>138</v>
      </c>
      <c r="D76" s="120"/>
      <c r="E76" s="120"/>
      <c r="F76" s="134" t="s">
        <v>139</v>
      </c>
      <c r="G76" s="134"/>
      <c r="H76" s="134"/>
    </row>
    <row r="77" customFormat="false" ht="13.8" hidden="false" customHeight="false" outlineLevel="0" collapsed="false">
      <c r="A77" s="131"/>
      <c r="B77" s="134"/>
      <c r="C77" s="121" t="s">
        <v>140</v>
      </c>
      <c r="D77" s="122" t="s">
        <v>141</v>
      </c>
      <c r="E77" s="123" t="s">
        <v>142</v>
      </c>
      <c r="F77" s="122" t="s">
        <v>140</v>
      </c>
      <c r="G77" s="122" t="s">
        <v>141</v>
      </c>
      <c r="H77" s="123" t="s">
        <v>142</v>
      </c>
    </row>
    <row r="78" customFormat="false" ht="13.8" hidden="false" customHeight="false" outlineLevel="0" collapsed="false">
      <c r="A78" s="142" t="s">
        <v>143</v>
      </c>
      <c r="B78" s="143" t="s">
        <v>144</v>
      </c>
      <c r="C78" s="144" t="n">
        <v>79.3893129770992</v>
      </c>
      <c r="D78" s="145" t="n">
        <v>83.0948282434037</v>
      </c>
      <c r="E78" s="146" t="n">
        <v>75.1148156497696</v>
      </c>
      <c r="F78" s="145" t="n">
        <v>20.6106870229008</v>
      </c>
      <c r="G78" s="145" t="n">
        <v>24.8851843502304</v>
      </c>
      <c r="H78" s="147" t="n">
        <v>16.9051717565963</v>
      </c>
    </row>
    <row r="79" customFormat="false" ht="13.8" hidden="false" customHeight="false" outlineLevel="0" collapsed="false">
      <c r="A79" s="142"/>
      <c r="B79" s="148" t="s">
        <v>145</v>
      </c>
      <c r="C79" s="149" t="n">
        <v>97.6282880551962</v>
      </c>
      <c r="D79" s="150" t="n">
        <v>98.1733240890008</v>
      </c>
      <c r="E79" s="151" t="n">
        <v>96.9257190080476</v>
      </c>
      <c r="F79" s="150" t="n">
        <v>2.3717119448038</v>
      </c>
      <c r="G79" s="150" t="n">
        <v>3.07428099195241</v>
      </c>
      <c r="H79" s="152" t="n">
        <v>1.82667591099917</v>
      </c>
    </row>
    <row r="80" customFormat="false" ht="13.8" hidden="false" customHeight="false" outlineLevel="0" collapsed="false">
      <c r="A80" s="153" t="s">
        <v>146</v>
      </c>
      <c r="B80" s="154" t="s">
        <v>144</v>
      </c>
      <c r="C80" s="155" t="n">
        <v>73.8095238095238</v>
      </c>
      <c r="D80" s="156" t="n">
        <v>78.505121878811</v>
      </c>
      <c r="E80" s="157" t="n">
        <v>68.4997513024886</v>
      </c>
      <c r="F80" s="156" t="n">
        <v>26.1904761904762</v>
      </c>
      <c r="G80" s="156" t="n">
        <v>31.5002486975114</v>
      </c>
      <c r="H80" s="158" t="n">
        <v>21.494878121189</v>
      </c>
    </row>
    <row r="81" customFormat="false" ht="13.8" hidden="false" customHeight="false" outlineLevel="0" collapsed="false">
      <c r="A81" s="153"/>
      <c r="B81" s="159" t="s">
        <v>145</v>
      </c>
      <c r="C81" s="160" t="n">
        <v>95.056403450564</v>
      </c>
      <c r="D81" s="161" t="n">
        <v>95.7745881317855</v>
      </c>
      <c r="E81" s="162" t="n">
        <v>94.2235127313842</v>
      </c>
      <c r="F81" s="161" t="n">
        <v>4.94359654943597</v>
      </c>
      <c r="G81" s="161" t="n">
        <v>5.77648726861576</v>
      </c>
      <c r="H81" s="163" t="n">
        <v>4.22541186821455</v>
      </c>
    </row>
    <row r="84" customFormat="false" ht="13.8" hidden="false" customHeight="false" outlineLevel="0" collapsed="false">
      <c r="A84" s="106" t="s">
        <v>147</v>
      </c>
      <c r="B84" s="2"/>
      <c r="C84" s="2"/>
      <c r="D84" s="2"/>
      <c r="E84" s="2"/>
    </row>
    <row r="85" customFormat="false" ht="28.35" hidden="false" customHeight="false" outlineLevel="0" collapsed="false">
      <c r="A85" s="164" t="s">
        <v>6</v>
      </c>
      <c r="B85" s="3" t="s">
        <v>85</v>
      </c>
      <c r="C85" s="108" t="s">
        <v>86</v>
      </c>
      <c r="D85" s="108" t="s">
        <v>87</v>
      </c>
      <c r="E85" s="109" t="s">
        <v>88</v>
      </c>
    </row>
    <row r="86" customFormat="false" ht="13.8" hidden="false" customHeight="false" outlineLevel="0" collapsed="false">
      <c r="A86" s="165" t="s">
        <v>148</v>
      </c>
      <c r="B86" s="166" t="s">
        <v>149</v>
      </c>
      <c r="C86" s="111" t="n">
        <v>18</v>
      </c>
      <c r="D86" s="112" t="n">
        <v>2</v>
      </c>
      <c r="E86" s="113" t="n">
        <v>0</v>
      </c>
    </row>
    <row r="87" customFormat="false" ht="13.8" hidden="false" customHeight="false" outlineLevel="0" collapsed="false">
      <c r="A87" s="165"/>
      <c r="B87" s="167" t="s">
        <v>150</v>
      </c>
      <c r="C87" s="111" t="n">
        <v>20</v>
      </c>
      <c r="D87" s="112" t="n">
        <v>0</v>
      </c>
      <c r="E87" s="113" t="n">
        <v>0</v>
      </c>
    </row>
    <row r="88" customFormat="false" ht="13.8" hidden="false" customHeight="false" outlineLevel="0" collapsed="false">
      <c r="A88" s="165"/>
      <c r="B88" s="168" t="s">
        <v>151</v>
      </c>
      <c r="C88" s="111" t="n">
        <v>20</v>
      </c>
      <c r="D88" s="112" t="n">
        <v>0</v>
      </c>
      <c r="E88" s="113" t="n">
        <v>0</v>
      </c>
    </row>
    <row r="91" customFormat="false" ht="13.8" hidden="false" customHeight="false" outlineLevel="0" collapsed="false">
      <c r="A91" s="1" t="s">
        <v>152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3" customFormat="false" ht="13.8" hidden="false" customHeight="false" outlineLevel="0" collapsed="false">
      <c r="A93" s="4" t="s">
        <v>6</v>
      </c>
      <c r="B93" s="4" t="s">
        <v>2</v>
      </c>
      <c r="C93" s="3" t="s">
        <v>3</v>
      </c>
      <c r="D93" s="5"/>
      <c r="E93" s="6"/>
      <c r="F93" s="4" t="s">
        <v>153</v>
      </c>
    </row>
    <row r="94" customFormat="false" ht="13.8" hidden="false" customHeight="false" outlineLevel="0" collapsed="false">
      <c r="A94" s="16"/>
      <c r="B94" s="16"/>
      <c r="C94" s="11" t="s">
        <v>9</v>
      </c>
      <c r="D94" s="12" t="s">
        <v>10</v>
      </c>
      <c r="E94" s="13" t="s">
        <v>11</v>
      </c>
      <c r="F94" s="16"/>
    </row>
    <row r="95" customFormat="false" ht="13.8" hidden="false" customHeight="false" outlineLevel="0" collapsed="false">
      <c r="A95" s="169" t="s">
        <v>154</v>
      </c>
      <c r="B95" s="53" t="s">
        <v>155</v>
      </c>
      <c r="C95" s="170" t="n">
        <v>71.2</v>
      </c>
      <c r="D95" s="47" t="n">
        <v>8.3</v>
      </c>
      <c r="E95" s="171" t="n">
        <v>30</v>
      </c>
      <c r="F95" s="101" t="n">
        <v>37</v>
      </c>
    </row>
    <row r="96" customFormat="false" ht="13.8" hidden="false" customHeight="false" outlineLevel="0" collapsed="false">
      <c r="A96" s="29"/>
      <c r="B96" s="29"/>
      <c r="C96" s="81"/>
      <c r="D96" s="81"/>
      <c r="E96" s="32"/>
      <c r="F96" s="29"/>
    </row>
    <row r="97" customFormat="false" ht="13.8" hidden="false" customHeight="false" outlineLevel="0" collapsed="false">
      <c r="A97" s="4" t="s">
        <v>6</v>
      </c>
      <c r="B97" s="4" t="s">
        <v>2</v>
      </c>
      <c r="C97" s="3" t="s">
        <v>11</v>
      </c>
      <c r="D97" s="5"/>
      <c r="E97" s="5"/>
      <c r="F97" s="6"/>
      <c r="G97" s="4" t="s">
        <v>153</v>
      </c>
      <c r="H97" s="3" t="s">
        <v>156</v>
      </c>
      <c r="I97" s="5"/>
      <c r="J97" s="5"/>
      <c r="K97" s="5"/>
      <c r="L97" s="5"/>
      <c r="M97" s="5"/>
      <c r="N97" s="5"/>
      <c r="O97" s="5"/>
      <c r="P97" s="6"/>
    </row>
    <row r="98" customFormat="false" ht="28.35" hidden="false" customHeight="false" outlineLevel="0" collapsed="false">
      <c r="A98" s="16"/>
      <c r="B98" s="16"/>
      <c r="C98" s="11" t="s">
        <v>12</v>
      </c>
      <c r="D98" s="12" t="s">
        <v>13</v>
      </c>
      <c r="E98" s="12" t="s">
        <v>14</v>
      </c>
      <c r="F98" s="13" t="s">
        <v>15</v>
      </c>
      <c r="G98" s="16"/>
      <c r="H98" s="11" t="s">
        <v>12</v>
      </c>
      <c r="I98" s="172" t="s">
        <v>141</v>
      </c>
      <c r="J98" s="172" t="s">
        <v>142</v>
      </c>
      <c r="K98" s="12" t="s">
        <v>13</v>
      </c>
      <c r="L98" s="172" t="s">
        <v>157</v>
      </c>
      <c r="M98" s="172" t="s">
        <v>142</v>
      </c>
      <c r="N98" s="12" t="s">
        <v>14</v>
      </c>
      <c r="O98" s="172" t="s">
        <v>157</v>
      </c>
      <c r="P98" s="173" t="s">
        <v>142</v>
      </c>
    </row>
    <row r="99" customFormat="false" ht="13.8" hidden="false" customHeight="false" outlineLevel="0" collapsed="false">
      <c r="A99" s="169" t="s">
        <v>158</v>
      </c>
      <c r="B99" s="53" t="s">
        <v>155</v>
      </c>
      <c r="C99" s="58" t="n">
        <v>29</v>
      </c>
      <c r="D99" s="48" t="n">
        <v>1</v>
      </c>
      <c r="E99" s="48" t="n">
        <v>0</v>
      </c>
      <c r="F99" s="49" t="n">
        <f aca="false">C99+D99+E99</f>
        <v>30</v>
      </c>
      <c r="G99" s="54" t="n">
        <v>37</v>
      </c>
      <c r="H99" s="50" t="n">
        <v>0.967</v>
      </c>
      <c r="I99" s="174" t="n">
        <v>0.998290223520415</v>
      </c>
      <c r="J99" s="174" t="n">
        <v>0.833296090085909</v>
      </c>
      <c r="K99" s="174" t="n">
        <v>0.033</v>
      </c>
      <c r="L99" s="174" t="n">
        <v>0.166703909914091</v>
      </c>
      <c r="M99" s="174" t="n">
        <v>0.00170977647958502</v>
      </c>
      <c r="N99" s="90" t="n">
        <v>0</v>
      </c>
      <c r="O99" s="174" t="n">
        <v>0.113513393173968</v>
      </c>
      <c r="P99" s="175" t="n">
        <v>0</v>
      </c>
    </row>
    <row r="100" customFormat="false" ht="13.8" hidden="false" customHeight="false" outlineLevel="0" collapsed="false">
      <c r="A100" s="29"/>
      <c r="B100" s="29"/>
      <c r="C100" s="81"/>
      <c r="D100" s="81"/>
      <c r="E100" s="32"/>
      <c r="F100" s="29"/>
    </row>
    <row r="101" customFormat="false" ht="13.8" hidden="false" customHeight="false" outlineLevel="0" collapsed="false">
      <c r="A101" s="94" t="s">
        <v>159</v>
      </c>
      <c r="E101" s="23"/>
    </row>
    <row r="104" customFormat="false" ht="13.8" hidden="false" customHeight="false" outlineLevel="0" collapsed="false">
      <c r="A104" s="1" t="s">
        <v>160</v>
      </c>
      <c r="B104" s="2"/>
      <c r="C104" s="2"/>
      <c r="D104" s="2"/>
    </row>
    <row r="106" customFormat="false" ht="15" hidden="false" customHeight="true" outlineLevel="0" collapsed="false">
      <c r="A106" s="91" t="s">
        <v>161</v>
      </c>
      <c r="B106" s="5" t="s">
        <v>162</v>
      </c>
      <c r="C106" s="5"/>
      <c r="D106" s="6"/>
    </row>
    <row r="107" customFormat="false" ht="34.5" hidden="false" customHeight="true" outlineLevel="0" collapsed="false">
      <c r="A107" s="91"/>
      <c r="B107" s="12" t="s">
        <v>9</v>
      </c>
      <c r="C107" s="12" t="s">
        <v>10</v>
      </c>
      <c r="D107" s="13" t="s">
        <v>11</v>
      </c>
    </row>
    <row r="108" customFormat="false" ht="13.8" hidden="false" customHeight="false" outlineLevel="0" collapsed="false">
      <c r="A108" s="21" t="s">
        <v>18</v>
      </c>
      <c r="B108" s="36" t="n">
        <v>2.642</v>
      </c>
      <c r="C108" s="37" t="n">
        <v>0.4305</v>
      </c>
      <c r="D108" s="28" t="n">
        <v>49</v>
      </c>
    </row>
    <row r="109" customFormat="false" ht="13.8" hidden="false" customHeight="false" outlineLevel="0" collapsed="false">
      <c r="A109" s="21" t="s">
        <v>29</v>
      </c>
      <c r="B109" s="36" t="n">
        <v>2.658</v>
      </c>
      <c r="C109" s="37" t="n">
        <v>0.4373</v>
      </c>
      <c r="D109" s="28" t="n">
        <v>21</v>
      </c>
    </row>
    <row r="110" customFormat="false" ht="13.8" hidden="false" customHeight="false" outlineLevel="0" collapsed="false">
      <c r="A110" s="21" t="s">
        <v>32</v>
      </c>
      <c r="B110" s="36" t="n">
        <v>2.698</v>
      </c>
      <c r="C110" s="37" t="n">
        <v>0.3582</v>
      </c>
      <c r="D110" s="28" t="n">
        <v>50</v>
      </c>
    </row>
    <row r="111" customFormat="false" ht="13.8" hidden="false" customHeight="false" outlineLevel="0" collapsed="false">
      <c r="A111" s="21" t="s">
        <v>36</v>
      </c>
      <c r="B111" s="36" t="n">
        <v>2.281</v>
      </c>
      <c r="C111" s="37" t="n">
        <v>0.5528</v>
      </c>
      <c r="D111" s="28" t="n">
        <v>18</v>
      </c>
    </row>
    <row r="112" customFormat="false" ht="13.8" hidden="false" customHeight="false" outlineLevel="0" collapsed="false">
      <c r="A112" s="21" t="s">
        <v>38</v>
      </c>
      <c r="B112" s="36" t="n">
        <v>2.105</v>
      </c>
      <c r="C112" s="37" t="n">
        <v>0.3114</v>
      </c>
      <c r="D112" s="28" t="n">
        <v>17</v>
      </c>
    </row>
    <row r="113" customFormat="false" ht="13.8" hidden="false" customHeight="false" outlineLevel="0" collapsed="false">
      <c r="A113" s="53" t="s">
        <v>40</v>
      </c>
      <c r="B113" s="176" t="n">
        <v>1.589</v>
      </c>
      <c r="C113" s="140" t="n">
        <v>0.1688</v>
      </c>
      <c r="D113" s="171" t="n">
        <v>15</v>
      </c>
    </row>
    <row r="114" customFormat="false" ht="13.8" hidden="false" customHeight="false" outlineLevel="0" collapsed="false">
      <c r="A114" s="94" t="s">
        <v>159</v>
      </c>
    </row>
    <row r="117" customFormat="false" ht="13.8" hidden="false" customHeight="false" outlineLevel="0" collapsed="false">
      <c r="A117" s="1" t="s">
        <v>163</v>
      </c>
      <c r="B117" s="2"/>
      <c r="C117" s="2"/>
      <c r="D117" s="2"/>
      <c r="E117" s="2"/>
    </row>
    <row r="118" customFormat="false" ht="13.8" hidden="false" customHeight="false" outlineLevel="0" collapsed="false">
      <c r="A118" s="0" t="s">
        <v>164</v>
      </c>
    </row>
    <row r="119" s="178" customFormat="true" ht="13.8" hidden="false" customHeight="false" outlineLevel="0" collapsed="false">
      <c r="A119" s="177" t="s">
        <v>18</v>
      </c>
      <c r="B119" s="177"/>
      <c r="C119" s="177"/>
      <c r="D119" s="177" t="s">
        <v>29</v>
      </c>
      <c r="E119" s="177"/>
      <c r="F119" s="177"/>
      <c r="G119" s="177" t="s">
        <v>32</v>
      </c>
      <c r="H119" s="177"/>
      <c r="I119" s="177"/>
      <c r="J119" s="177" t="s">
        <v>36</v>
      </c>
      <c r="K119" s="177"/>
      <c r="L119" s="177"/>
      <c r="M119" s="177" t="s">
        <v>38</v>
      </c>
      <c r="N119" s="177"/>
      <c r="O119" s="177"/>
      <c r="P119" s="177" t="s">
        <v>40</v>
      </c>
      <c r="Q119" s="177"/>
      <c r="R119" s="177"/>
      <c r="S119" s="177" t="s">
        <v>42</v>
      </c>
      <c r="T119" s="177"/>
      <c r="U119" s="177"/>
    </row>
    <row r="120" s="178" customFormat="true" ht="13.8" hidden="false" customHeight="false" outlineLevel="0" collapsed="false">
      <c r="A120" s="178" t="s">
        <v>165</v>
      </c>
      <c r="B120" s="178" t="s">
        <v>166</v>
      </c>
      <c r="C120" s="178" t="s">
        <v>167</v>
      </c>
      <c r="D120" s="178" t="s">
        <v>165</v>
      </c>
      <c r="E120" s="178" t="s">
        <v>166</v>
      </c>
      <c r="F120" s="178" t="s">
        <v>167</v>
      </c>
      <c r="G120" s="178" t="s">
        <v>165</v>
      </c>
      <c r="H120" s="178" t="s">
        <v>166</v>
      </c>
      <c r="I120" s="178" t="s">
        <v>167</v>
      </c>
      <c r="J120" s="178" t="s">
        <v>165</v>
      </c>
      <c r="K120" s="178" t="s">
        <v>166</v>
      </c>
      <c r="L120" s="178" t="s">
        <v>167</v>
      </c>
      <c r="M120" s="178" t="s">
        <v>165</v>
      </c>
      <c r="N120" s="178" t="s">
        <v>166</v>
      </c>
      <c r="O120" s="178" t="s">
        <v>167</v>
      </c>
      <c r="P120" s="178" t="s">
        <v>165</v>
      </c>
      <c r="Q120" s="178" t="s">
        <v>166</v>
      </c>
      <c r="R120" s="178" t="s">
        <v>167</v>
      </c>
      <c r="S120" s="178" t="s">
        <v>165</v>
      </c>
      <c r="T120" s="178" t="s">
        <v>166</v>
      </c>
      <c r="U120" s="178" t="s">
        <v>167</v>
      </c>
    </row>
    <row r="121" s="178" customFormat="true" ht="13.8" hidden="false" customHeight="false" outlineLevel="0" collapsed="false">
      <c r="A121" s="178" t="s">
        <v>133</v>
      </c>
      <c r="B121" s="178" t="s">
        <v>13</v>
      </c>
      <c r="C121" s="178" t="n">
        <v>21</v>
      </c>
      <c r="D121" s="178" t="s">
        <v>133</v>
      </c>
      <c r="E121" s="178" t="s">
        <v>13</v>
      </c>
      <c r="F121" s="178" t="n">
        <v>20</v>
      </c>
      <c r="G121" s="178" t="s">
        <v>133</v>
      </c>
      <c r="H121" s="178" t="s">
        <v>13</v>
      </c>
      <c r="I121" s="178" t="n">
        <v>20</v>
      </c>
      <c r="J121" s="178" t="s">
        <v>133</v>
      </c>
      <c r="K121" s="178" t="s">
        <v>13</v>
      </c>
      <c r="L121" s="178" t="n">
        <v>8</v>
      </c>
      <c r="M121" s="178" t="s">
        <v>133</v>
      </c>
      <c r="N121" s="178" t="s">
        <v>13</v>
      </c>
      <c r="O121" s="178" t="n">
        <v>7</v>
      </c>
      <c r="P121" s="178" t="s">
        <v>133</v>
      </c>
      <c r="Q121" s="178" t="s">
        <v>13</v>
      </c>
      <c r="R121" s="178" t="n">
        <v>6</v>
      </c>
      <c r="S121" s="178" t="s">
        <v>133</v>
      </c>
      <c r="T121" s="178" t="s">
        <v>13</v>
      </c>
      <c r="U121" s="178" t="n">
        <v>5</v>
      </c>
    </row>
    <row r="122" s="178" customFormat="true" ht="13.8" hidden="false" customHeight="false" outlineLevel="0" collapsed="false">
      <c r="A122" s="178" t="s">
        <v>133</v>
      </c>
      <c r="B122" s="178" t="s">
        <v>13</v>
      </c>
      <c r="C122" s="178" t="n">
        <v>8</v>
      </c>
      <c r="D122" s="178" t="s">
        <v>133</v>
      </c>
      <c r="E122" s="178" t="s">
        <v>13</v>
      </c>
      <c r="F122" s="178" t="n">
        <v>11</v>
      </c>
      <c r="G122" s="178" t="s">
        <v>133</v>
      </c>
      <c r="H122" s="178" t="s">
        <v>13</v>
      </c>
      <c r="I122" s="178" t="n">
        <v>6</v>
      </c>
      <c r="J122" s="178" t="s">
        <v>133</v>
      </c>
      <c r="K122" s="178" t="s">
        <v>13</v>
      </c>
      <c r="L122" s="178" t="n">
        <v>9</v>
      </c>
      <c r="M122" s="178" t="s">
        <v>133</v>
      </c>
      <c r="N122" s="178" t="s">
        <v>13</v>
      </c>
      <c r="O122" s="178" t="n">
        <v>12</v>
      </c>
      <c r="P122" s="178" t="s">
        <v>133</v>
      </c>
      <c r="Q122" s="178" t="s">
        <v>13</v>
      </c>
      <c r="R122" s="178" t="n">
        <v>9</v>
      </c>
      <c r="S122" s="178" t="s">
        <v>134</v>
      </c>
      <c r="T122" s="178" t="s">
        <v>13</v>
      </c>
      <c r="U122" s="178" t="n">
        <v>10</v>
      </c>
    </row>
    <row r="123" s="178" customFormat="true" ht="13.8" hidden="false" customHeight="false" outlineLevel="0" collapsed="false">
      <c r="A123" s="178" t="s">
        <v>133</v>
      </c>
      <c r="B123" s="178" t="s">
        <v>13</v>
      </c>
      <c r="C123" s="178" t="n">
        <v>5</v>
      </c>
      <c r="D123" s="178" t="s">
        <v>133</v>
      </c>
      <c r="E123" s="178" t="s">
        <v>13</v>
      </c>
      <c r="F123" s="178" t="n">
        <v>7</v>
      </c>
      <c r="G123" s="178" t="s">
        <v>133</v>
      </c>
      <c r="H123" s="178" t="s">
        <v>13</v>
      </c>
      <c r="I123" s="178" t="n">
        <v>13</v>
      </c>
      <c r="J123" s="178" t="s">
        <v>134</v>
      </c>
      <c r="K123" s="178" t="s">
        <v>13</v>
      </c>
      <c r="L123" s="178" t="n">
        <v>12</v>
      </c>
      <c r="M123" s="178" t="s">
        <v>133</v>
      </c>
      <c r="N123" s="178" t="s">
        <v>13</v>
      </c>
      <c r="O123" s="178" t="n">
        <v>7</v>
      </c>
      <c r="P123" s="178" t="s">
        <v>133</v>
      </c>
      <c r="Q123" s="178" t="s">
        <v>13</v>
      </c>
      <c r="R123" s="178" t="n">
        <v>24</v>
      </c>
      <c r="S123" s="178" t="s">
        <v>134</v>
      </c>
      <c r="T123" s="178" t="s">
        <v>13</v>
      </c>
      <c r="U123" s="178" t="n">
        <v>9</v>
      </c>
    </row>
    <row r="124" s="178" customFormat="true" ht="13.8" hidden="false" customHeight="false" outlineLevel="0" collapsed="false">
      <c r="A124" s="178" t="s">
        <v>133</v>
      </c>
      <c r="B124" s="178" t="s">
        <v>13</v>
      </c>
      <c r="C124" s="178" t="n">
        <v>10</v>
      </c>
      <c r="D124" s="178" t="s">
        <v>133</v>
      </c>
      <c r="E124" s="178" t="s">
        <v>13</v>
      </c>
      <c r="F124" s="178" t="n">
        <v>10</v>
      </c>
      <c r="G124" s="178" t="s">
        <v>133</v>
      </c>
      <c r="H124" s="178" t="s">
        <v>13</v>
      </c>
      <c r="I124" s="178" t="n">
        <v>8</v>
      </c>
      <c r="J124" s="178" t="s">
        <v>134</v>
      </c>
      <c r="K124" s="178" t="s">
        <v>13</v>
      </c>
      <c r="L124" s="178" t="n">
        <v>6</v>
      </c>
      <c r="M124" s="178" t="s">
        <v>133</v>
      </c>
      <c r="N124" s="178" t="s">
        <v>13</v>
      </c>
      <c r="O124" s="178" t="n">
        <v>8</v>
      </c>
      <c r="P124" s="178" t="s">
        <v>133</v>
      </c>
      <c r="Q124" s="178" t="s">
        <v>13</v>
      </c>
      <c r="R124" s="178" t="n">
        <v>24</v>
      </c>
      <c r="S124" s="178" t="s">
        <v>134</v>
      </c>
      <c r="T124" s="178" t="s">
        <v>13</v>
      </c>
      <c r="U124" s="178" t="n">
        <v>7</v>
      </c>
    </row>
    <row r="125" s="178" customFormat="true" ht="13.8" hidden="false" customHeight="false" outlineLevel="0" collapsed="false">
      <c r="A125" s="178" t="s">
        <v>133</v>
      </c>
      <c r="B125" s="178" t="s">
        <v>13</v>
      </c>
      <c r="C125" s="178" t="n">
        <v>11</v>
      </c>
      <c r="D125" s="178" t="s">
        <v>133</v>
      </c>
      <c r="E125" s="178" t="s">
        <v>13</v>
      </c>
      <c r="F125" s="178" t="n">
        <v>6</v>
      </c>
      <c r="G125" s="178" t="s">
        <v>133</v>
      </c>
      <c r="H125" s="178" t="s">
        <v>13</v>
      </c>
      <c r="I125" s="178" t="n">
        <v>7</v>
      </c>
      <c r="J125" s="178" t="s">
        <v>134</v>
      </c>
      <c r="K125" s="178" t="s">
        <v>13</v>
      </c>
      <c r="L125" s="178" t="n">
        <v>9</v>
      </c>
      <c r="M125" s="178" t="s">
        <v>133</v>
      </c>
      <c r="N125" s="178" t="s">
        <v>13</v>
      </c>
      <c r="O125" s="178" t="n">
        <v>19</v>
      </c>
      <c r="P125" s="178" t="s">
        <v>133</v>
      </c>
      <c r="Q125" s="178" t="s">
        <v>13</v>
      </c>
      <c r="R125" s="178" t="n">
        <v>5</v>
      </c>
      <c r="S125" s="178" t="s">
        <v>134</v>
      </c>
      <c r="T125" s="178" t="s">
        <v>13</v>
      </c>
      <c r="U125" s="178" t="n">
        <v>7</v>
      </c>
    </row>
    <row r="126" s="178" customFormat="true" ht="13.8" hidden="false" customHeight="false" outlineLevel="0" collapsed="false">
      <c r="A126" s="178" t="s">
        <v>133</v>
      </c>
      <c r="B126" s="178" t="s">
        <v>13</v>
      </c>
      <c r="C126" s="178" t="n">
        <v>12</v>
      </c>
      <c r="D126" s="178" t="s">
        <v>133</v>
      </c>
      <c r="E126" s="178" t="s">
        <v>13</v>
      </c>
      <c r="F126" s="178" t="n">
        <v>5</v>
      </c>
      <c r="G126" s="178" t="s">
        <v>133</v>
      </c>
      <c r="H126" s="178" t="s">
        <v>13</v>
      </c>
      <c r="I126" s="178" t="n">
        <v>8</v>
      </c>
      <c r="J126" s="178" t="s">
        <v>134</v>
      </c>
      <c r="K126" s="178" t="s">
        <v>13</v>
      </c>
      <c r="L126" s="178" t="n">
        <v>5</v>
      </c>
      <c r="M126" s="178" t="s">
        <v>133</v>
      </c>
      <c r="N126" s="178" t="s">
        <v>13</v>
      </c>
      <c r="O126" s="178" t="n">
        <v>8</v>
      </c>
      <c r="P126" s="178" t="s">
        <v>133</v>
      </c>
      <c r="Q126" s="178" t="s">
        <v>13</v>
      </c>
      <c r="R126" s="178" t="n">
        <v>10</v>
      </c>
      <c r="S126" s="178" t="s">
        <v>134</v>
      </c>
      <c r="T126" s="178" t="s">
        <v>13</v>
      </c>
      <c r="U126" s="178" t="n">
        <v>10</v>
      </c>
    </row>
    <row r="127" s="178" customFormat="true" ht="13.8" hidden="false" customHeight="false" outlineLevel="0" collapsed="false">
      <c r="A127" s="178" t="s">
        <v>133</v>
      </c>
      <c r="B127" s="178" t="s">
        <v>13</v>
      </c>
      <c r="C127" s="178" t="n">
        <v>17</v>
      </c>
      <c r="D127" s="178" t="s">
        <v>134</v>
      </c>
      <c r="E127" s="178" t="s">
        <v>13</v>
      </c>
      <c r="F127" s="178" t="n">
        <v>14</v>
      </c>
      <c r="G127" s="178" t="s">
        <v>134</v>
      </c>
      <c r="H127" s="178" t="s">
        <v>13</v>
      </c>
      <c r="I127" s="178" t="n">
        <v>5</v>
      </c>
      <c r="J127" s="178" t="s">
        <v>134</v>
      </c>
      <c r="K127" s="178" t="s">
        <v>13</v>
      </c>
      <c r="L127" s="178" t="n">
        <v>7</v>
      </c>
      <c r="M127" s="178" t="s">
        <v>134</v>
      </c>
      <c r="N127" s="178" t="s">
        <v>13</v>
      </c>
      <c r="O127" s="178" t="n">
        <v>6</v>
      </c>
      <c r="P127" s="178" t="s">
        <v>134</v>
      </c>
      <c r="Q127" s="178" t="s">
        <v>13</v>
      </c>
      <c r="R127" s="178" t="n">
        <v>8</v>
      </c>
      <c r="S127" s="178" t="s">
        <v>135</v>
      </c>
      <c r="T127" s="178" t="s">
        <v>13</v>
      </c>
      <c r="U127" s="178" t="n">
        <v>13</v>
      </c>
    </row>
    <row r="128" s="178" customFormat="true" ht="13.8" hidden="false" customHeight="false" outlineLevel="0" collapsed="false">
      <c r="A128" s="178" t="s">
        <v>133</v>
      </c>
      <c r="B128" s="178" t="s">
        <v>13</v>
      </c>
      <c r="C128" s="178" t="n">
        <v>24</v>
      </c>
      <c r="D128" s="178" t="s">
        <v>134</v>
      </c>
      <c r="E128" s="178" t="s">
        <v>13</v>
      </c>
      <c r="F128" s="178" t="n">
        <v>13</v>
      </c>
      <c r="G128" s="178" t="s">
        <v>134</v>
      </c>
      <c r="H128" s="178" t="s">
        <v>13</v>
      </c>
      <c r="I128" s="178" t="n">
        <v>22</v>
      </c>
      <c r="J128" s="178" t="s">
        <v>134</v>
      </c>
      <c r="K128" s="178" t="s">
        <v>13</v>
      </c>
      <c r="L128" s="178" t="n">
        <v>7</v>
      </c>
      <c r="M128" s="178" t="s">
        <v>134</v>
      </c>
      <c r="N128" s="178" t="s">
        <v>13</v>
      </c>
      <c r="O128" s="178" t="n">
        <v>10</v>
      </c>
      <c r="P128" s="178" t="s">
        <v>134</v>
      </c>
      <c r="Q128" s="178" t="s">
        <v>13</v>
      </c>
      <c r="R128" s="178" t="n">
        <v>8</v>
      </c>
      <c r="S128" s="178" t="s">
        <v>135</v>
      </c>
      <c r="T128" s="178" t="s">
        <v>13</v>
      </c>
      <c r="U128" s="178" t="n">
        <v>13</v>
      </c>
    </row>
    <row r="129" s="178" customFormat="true" ht="13.8" hidden="false" customHeight="false" outlineLevel="0" collapsed="false">
      <c r="A129" s="178" t="s">
        <v>133</v>
      </c>
      <c r="B129" s="178" t="s">
        <v>13</v>
      </c>
      <c r="C129" s="178" t="n">
        <v>6</v>
      </c>
      <c r="D129" s="178" t="s">
        <v>134</v>
      </c>
      <c r="E129" s="178" t="s">
        <v>13</v>
      </c>
      <c r="F129" s="178" t="n">
        <v>6</v>
      </c>
      <c r="G129" s="178" t="s">
        <v>134</v>
      </c>
      <c r="H129" s="178" t="s">
        <v>13</v>
      </c>
      <c r="I129" s="178" t="n">
        <v>6</v>
      </c>
      <c r="J129" s="178" t="s">
        <v>134</v>
      </c>
      <c r="K129" s="178" t="s">
        <v>13</v>
      </c>
      <c r="L129" s="178" t="n">
        <v>7</v>
      </c>
      <c r="M129" s="178" t="s">
        <v>134</v>
      </c>
      <c r="N129" s="178" t="s">
        <v>13</v>
      </c>
      <c r="O129" s="178" t="n">
        <v>6</v>
      </c>
      <c r="P129" s="178" t="s">
        <v>134</v>
      </c>
      <c r="Q129" s="178" t="s">
        <v>13</v>
      </c>
      <c r="R129" s="178" t="n">
        <v>9</v>
      </c>
      <c r="S129" s="178" t="s">
        <v>135</v>
      </c>
      <c r="T129" s="178" t="s">
        <v>13</v>
      </c>
      <c r="U129" s="178" t="n">
        <v>8</v>
      </c>
    </row>
    <row r="130" s="178" customFormat="true" ht="13.8" hidden="false" customHeight="false" outlineLevel="0" collapsed="false">
      <c r="A130" s="178" t="s">
        <v>133</v>
      </c>
      <c r="B130" s="178" t="s">
        <v>13</v>
      </c>
      <c r="C130" s="178" t="n">
        <v>16</v>
      </c>
      <c r="D130" s="178" t="s">
        <v>134</v>
      </c>
      <c r="E130" s="178" t="s">
        <v>13</v>
      </c>
      <c r="F130" s="178" t="n">
        <v>6</v>
      </c>
      <c r="G130" s="178" t="s">
        <v>134</v>
      </c>
      <c r="H130" s="178" t="s">
        <v>13</v>
      </c>
      <c r="I130" s="178" t="n">
        <v>9</v>
      </c>
      <c r="J130" s="178" t="s">
        <v>135</v>
      </c>
      <c r="K130" s="178" t="s">
        <v>13</v>
      </c>
      <c r="L130" s="178" t="n">
        <v>5</v>
      </c>
      <c r="M130" s="178" t="s">
        <v>134</v>
      </c>
      <c r="N130" s="178" t="s">
        <v>13</v>
      </c>
      <c r="O130" s="178" t="n">
        <v>7</v>
      </c>
      <c r="P130" s="178" t="s">
        <v>134</v>
      </c>
      <c r="Q130" s="178" t="s">
        <v>13</v>
      </c>
      <c r="R130" s="178" t="n">
        <v>6</v>
      </c>
      <c r="S130" s="178" t="s">
        <v>135</v>
      </c>
      <c r="T130" s="178" t="s">
        <v>13</v>
      </c>
      <c r="U130" s="178" t="n">
        <v>5</v>
      </c>
    </row>
    <row r="131" s="178" customFormat="true" ht="13.8" hidden="false" customHeight="false" outlineLevel="0" collapsed="false">
      <c r="A131" s="178" t="s">
        <v>133</v>
      </c>
      <c r="B131" s="178" t="s">
        <v>13</v>
      </c>
      <c r="C131" s="178" t="n">
        <v>8</v>
      </c>
      <c r="D131" s="178" t="s">
        <v>135</v>
      </c>
      <c r="E131" s="178" t="s">
        <v>13</v>
      </c>
      <c r="F131" s="178" t="n">
        <v>10</v>
      </c>
      <c r="G131" s="178" t="s">
        <v>134</v>
      </c>
      <c r="H131" s="178" t="s">
        <v>13</v>
      </c>
      <c r="I131" s="178" t="n">
        <v>7</v>
      </c>
      <c r="J131" s="178" t="s">
        <v>135</v>
      </c>
      <c r="K131" s="178" t="s">
        <v>13</v>
      </c>
      <c r="L131" s="178" t="n">
        <v>9</v>
      </c>
      <c r="M131" s="178" t="s">
        <v>134</v>
      </c>
      <c r="N131" s="178" t="s">
        <v>13</v>
      </c>
      <c r="O131" s="178" t="n">
        <v>6</v>
      </c>
      <c r="P131" s="178" t="s">
        <v>134</v>
      </c>
      <c r="Q131" s="178" t="s">
        <v>13</v>
      </c>
      <c r="R131" s="178" t="n">
        <v>14</v>
      </c>
      <c r="S131" s="178" t="s">
        <v>133</v>
      </c>
      <c r="T131" s="178" t="s">
        <v>50</v>
      </c>
      <c r="U131" s="178" t="n">
        <v>2</v>
      </c>
    </row>
    <row r="132" s="178" customFormat="true" ht="13.8" hidden="false" customHeight="false" outlineLevel="0" collapsed="false">
      <c r="A132" s="178" t="s">
        <v>133</v>
      </c>
      <c r="B132" s="178" t="s">
        <v>13</v>
      </c>
      <c r="C132" s="178" t="n">
        <v>15</v>
      </c>
      <c r="D132" s="178" t="s">
        <v>135</v>
      </c>
      <c r="E132" s="178" t="s">
        <v>13</v>
      </c>
      <c r="F132" s="178" t="n">
        <v>7</v>
      </c>
      <c r="G132" s="178" t="s">
        <v>134</v>
      </c>
      <c r="H132" s="178" t="s">
        <v>13</v>
      </c>
      <c r="I132" s="178" t="n">
        <v>12</v>
      </c>
      <c r="J132" s="178" t="s">
        <v>135</v>
      </c>
      <c r="K132" s="178" t="s">
        <v>13</v>
      </c>
      <c r="L132" s="178" t="n">
        <v>7</v>
      </c>
      <c r="M132" s="178" t="s">
        <v>135</v>
      </c>
      <c r="N132" s="178" t="s">
        <v>13</v>
      </c>
      <c r="O132" s="178" t="n">
        <v>7</v>
      </c>
      <c r="P132" s="178" t="s">
        <v>134</v>
      </c>
      <c r="Q132" s="178" t="s">
        <v>13</v>
      </c>
      <c r="R132" s="178" t="n">
        <v>14</v>
      </c>
      <c r="S132" s="178" t="s">
        <v>133</v>
      </c>
      <c r="T132" s="178" t="s">
        <v>50</v>
      </c>
      <c r="U132" s="178" t="n">
        <v>2</v>
      </c>
    </row>
    <row r="133" s="178" customFormat="true" ht="13.8" hidden="false" customHeight="false" outlineLevel="0" collapsed="false">
      <c r="A133" s="178" t="s">
        <v>134</v>
      </c>
      <c r="B133" s="178" t="s">
        <v>13</v>
      </c>
      <c r="C133" s="178" t="n">
        <v>5</v>
      </c>
      <c r="D133" s="178" t="s">
        <v>135</v>
      </c>
      <c r="E133" s="178" t="s">
        <v>13</v>
      </c>
      <c r="F133" s="178" t="n">
        <v>27</v>
      </c>
      <c r="G133" s="178" t="s">
        <v>134</v>
      </c>
      <c r="H133" s="178" t="s">
        <v>13</v>
      </c>
      <c r="I133" s="178" t="n">
        <v>17</v>
      </c>
      <c r="J133" s="178" t="s">
        <v>135</v>
      </c>
      <c r="K133" s="178" t="s">
        <v>13</v>
      </c>
      <c r="L133" s="178" t="n">
        <v>14</v>
      </c>
      <c r="M133" s="178" t="s">
        <v>135</v>
      </c>
      <c r="N133" s="178" t="s">
        <v>13</v>
      </c>
      <c r="O133" s="178" t="n">
        <v>10</v>
      </c>
      <c r="P133" s="178" t="s">
        <v>134</v>
      </c>
      <c r="Q133" s="178" t="s">
        <v>13</v>
      </c>
      <c r="R133" s="178" t="n">
        <v>8</v>
      </c>
      <c r="S133" s="178" t="s">
        <v>133</v>
      </c>
      <c r="T133" s="178" t="s">
        <v>50</v>
      </c>
      <c r="U133" s="178" t="n">
        <v>2</v>
      </c>
    </row>
    <row r="134" s="178" customFormat="true" ht="13.8" hidden="false" customHeight="false" outlineLevel="0" collapsed="false">
      <c r="A134" s="178" t="s">
        <v>134</v>
      </c>
      <c r="B134" s="178" t="s">
        <v>13</v>
      </c>
      <c r="C134" s="178" t="n">
        <v>6</v>
      </c>
      <c r="D134" s="178" t="s">
        <v>135</v>
      </c>
      <c r="E134" s="178" t="s">
        <v>13</v>
      </c>
      <c r="F134" s="178" t="n">
        <v>6</v>
      </c>
      <c r="G134" s="178" t="s">
        <v>134</v>
      </c>
      <c r="H134" s="178" t="s">
        <v>13</v>
      </c>
      <c r="I134" s="178" t="n">
        <v>9</v>
      </c>
      <c r="J134" s="178" t="s">
        <v>135</v>
      </c>
      <c r="K134" s="178" t="s">
        <v>13</v>
      </c>
      <c r="L134" s="178" t="n">
        <v>8</v>
      </c>
      <c r="M134" s="178" t="s">
        <v>135</v>
      </c>
      <c r="N134" s="178" t="s">
        <v>13</v>
      </c>
      <c r="O134" s="178" t="n">
        <v>6</v>
      </c>
      <c r="P134" s="178" t="s">
        <v>134</v>
      </c>
      <c r="Q134" s="178" t="s">
        <v>13</v>
      </c>
      <c r="R134" s="178" t="n">
        <v>13</v>
      </c>
      <c r="S134" s="178" t="s">
        <v>133</v>
      </c>
      <c r="T134" s="178" t="s">
        <v>50</v>
      </c>
      <c r="U134" s="178" t="n">
        <v>4</v>
      </c>
    </row>
    <row r="135" s="178" customFormat="true" ht="13.8" hidden="false" customHeight="false" outlineLevel="0" collapsed="false">
      <c r="A135" s="178" t="s">
        <v>134</v>
      </c>
      <c r="B135" s="178" t="s">
        <v>13</v>
      </c>
      <c r="C135" s="178" t="n">
        <v>6</v>
      </c>
      <c r="D135" s="178" t="s">
        <v>135</v>
      </c>
      <c r="E135" s="178" t="s">
        <v>13</v>
      </c>
      <c r="F135" s="178" t="n">
        <v>7</v>
      </c>
      <c r="G135" s="178" t="s">
        <v>134</v>
      </c>
      <c r="H135" s="178" t="s">
        <v>13</v>
      </c>
      <c r="I135" s="178" t="n">
        <v>6</v>
      </c>
      <c r="J135" s="178" t="s">
        <v>133</v>
      </c>
      <c r="K135" s="178" t="s">
        <v>12</v>
      </c>
      <c r="L135" s="178" t="n">
        <v>47</v>
      </c>
      <c r="M135" s="178" t="s">
        <v>135</v>
      </c>
      <c r="N135" s="178" t="s">
        <v>13</v>
      </c>
      <c r="O135" s="178" t="n">
        <v>8</v>
      </c>
      <c r="P135" s="178" t="s">
        <v>134</v>
      </c>
      <c r="Q135" s="178" t="s">
        <v>13</v>
      </c>
      <c r="R135" s="178" t="n">
        <v>7</v>
      </c>
      <c r="S135" s="178" t="s">
        <v>133</v>
      </c>
      <c r="T135" s="178" t="s">
        <v>50</v>
      </c>
      <c r="U135" s="178" t="n">
        <v>2</v>
      </c>
    </row>
    <row r="136" s="178" customFormat="true" ht="13.8" hidden="false" customHeight="false" outlineLevel="0" collapsed="false">
      <c r="A136" s="178" t="s">
        <v>134</v>
      </c>
      <c r="B136" s="178" t="s">
        <v>13</v>
      </c>
      <c r="C136" s="178" t="n">
        <v>7</v>
      </c>
      <c r="D136" s="178" t="s">
        <v>133</v>
      </c>
      <c r="E136" s="178" t="s">
        <v>12</v>
      </c>
      <c r="F136" s="178" t="n">
        <v>41</v>
      </c>
      <c r="G136" s="178" t="s">
        <v>134</v>
      </c>
      <c r="H136" s="178" t="s">
        <v>13</v>
      </c>
      <c r="I136" s="178" t="n">
        <v>6</v>
      </c>
      <c r="J136" s="178" t="s">
        <v>133</v>
      </c>
      <c r="K136" s="178" t="s">
        <v>12</v>
      </c>
      <c r="L136" s="178" t="n">
        <v>35</v>
      </c>
      <c r="M136" s="178" t="s">
        <v>135</v>
      </c>
      <c r="N136" s="178" t="s">
        <v>13</v>
      </c>
      <c r="O136" s="178" t="n">
        <v>10</v>
      </c>
      <c r="P136" s="178" t="s">
        <v>134</v>
      </c>
      <c r="Q136" s="178" t="s">
        <v>13</v>
      </c>
      <c r="R136" s="178" t="n">
        <v>15</v>
      </c>
      <c r="S136" s="178" t="s">
        <v>133</v>
      </c>
      <c r="T136" s="178" t="s">
        <v>50</v>
      </c>
      <c r="U136" s="178" t="n">
        <v>6</v>
      </c>
    </row>
    <row r="137" s="178" customFormat="true" ht="13.8" hidden="false" customHeight="false" outlineLevel="0" collapsed="false">
      <c r="A137" s="178" t="s">
        <v>134</v>
      </c>
      <c r="B137" s="178" t="s">
        <v>13</v>
      </c>
      <c r="C137" s="178" t="n">
        <v>8</v>
      </c>
      <c r="D137" s="178" t="s">
        <v>133</v>
      </c>
      <c r="E137" s="178" t="s">
        <v>12</v>
      </c>
      <c r="F137" s="178" t="n">
        <v>135</v>
      </c>
      <c r="G137" s="178" t="s">
        <v>134</v>
      </c>
      <c r="H137" s="178" t="s">
        <v>13</v>
      </c>
      <c r="I137" s="178" t="n">
        <v>13</v>
      </c>
      <c r="J137" s="178" t="s">
        <v>133</v>
      </c>
      <c r="K137" s="178" t="s">
        <v>12</v>
      </c>
      <c r="L137" s="178" t="n">
        <v>19</v>
      </c>
      <c r="M137" s="178" t="s">
        <v>135</v>
      </c>
      <c r="N137" s="178" t="s">
        <v>13</v>
      </c>
      <c r="O137" s="178" t="n">
        <v>10</v>
      </c>
      <c r="P137" s="178" t="s">
        <v>135</v>
      </c>
      <c r="Q137" s="178" t="s">
        <v>13</v>
      </c>
      <c r="R137" s="178" t="n">
        <v>7</v>
      </c>
      <c r="S137" s="178" t="s">
        <v>133</v>
      </c>
      <c r="T137" s="178" t="s">
        <v>50</v>
      </c>
      <c r="U137" s="178" t="n">
        <v>4</v>
      </c>
    </row>
    <row r="138" s="178" customFormat="true" ht="13.8" hidden="false" customHeight="false" outlineLevel="0" collapsed="false">
      <c r="A138" s="178" t="s">
        <v>134</v>
      </c>
      <c r="B138" s="178" t="s">
        <v>13</v>
      </c>
      <c r="C138" s="178" t="n">
        <v>26</v>
      </c>
      <c r="D138" s="178" t="s">
        <v>133</v>
      </c>
      <c r="E138" s="178" t="s">
        <v>12</v>
      </c>
      <c r="F138" s="178" t="n">
        <v>12</v>
      </c>
      <c r="G138" s="178" t="s">
        <v>135</v>
      </c>
      <c r="H138" s="178" t="s">
        <v>13</v>
      </c>
      <c r="I138" s="178" t="n">
        <v>5</v>
      </c>
      <c r="J138" s="178" t="s">
        <v>133</v>
      </c>
      <c r="K138" s="178" t="s">
        <v>12</v>
      </c>
      <c r="L138" s="178" t="n">
        <v>15</v>
      </c>
      <c r="M138" s="178" t="s">
        <v>133</v>
      </c>
      <c r="N138" s="178" t="s">
        <v>12</v>
      </c>
      <c r="O138" s="178" t="n">
        <v>21</v>
      </c>
      <c r="P138" s="178" t="s">
        <v>135</v>
      </c>
      <c r="Q138" s="178" t="s">
        <v>13</v>
      </c>
      <c r="R138" s="178" t="n">
        <v>8</v>
      </c>
      <c r="S138" s="178" t="s">
        <v>133</v>
      </c>
      <c r="T138" s="178" t="s">
        <v>50</v>
      </c>
      <c r="U138" s="178" t="n">
        <v>4</v>
      </c>
    </row>
    <row r="139" s="178" customFormat="true" ht="13.8" hidden="false" customHeight="false" outlineLevel="0" collapsed="false">
      <c r="A139" s="178" t="s">
        <v>134</v>
      </c>
      <c r="B139" s="178" t="s">
        <v>13</v>
      </c>
      <c r="C139" s="178" t="n">
        <v>30</v>
      </c>
      <c r="D139" s="178" t="s">
        <v>133</v>
      </c>
      <c r="E139" s="178" t="s">
        <v>12</v>
      </c>
      <c r="F139" s="178" t="n">
        <v>78</v>
      </c>
      <c r="G139" s="178" t="s">
        <v>135</v>
      </c>
      <c r="H139" s="178" t="s">
        <v>13</v>
      </c>
      <c r="I139" s="178" t="n">
        <v>12</v>
      </c>
      <c r="J139" s="178" t="s">
        <v>134</v>
      </c>
      <c r="K139" s="178" t="s">
        <v>12</v>
      </c>
      <c r="L139" s="178" t="n">
        <v>34</v>
      </c>
      <c r="M139" s="178" t="s">
        <v>133</v>
      </c>
      <c r="N139" s="178" t="s">
        <v>12</v>
      </c>
      <c r="O139" s="178" t="n">
        <v>27</v>
      </c>
      <c r="P139" s="178" t="s">
        <v>135</v>
      </c>
      <c r="Q139" s="178" t="s">
        <v>13</v>
      </c>
      <c r="R139" s="178" t="n">
        <v>7</v>
      </c>
      <c r="S139" s="178" t="s">
        <v>133</v>
      </c>
      <c r="T139" s="178" t="s">
        <v>50</v>
      </c>
      <c r="U139" s="178" t="n">
        <v>3</v>
      </c>
    </row>
    <row r="140" s="178" customFormat="true" ht="13.8" hidden="false" customHeight="false" outlineLevel="0" collapsed="false">
      <c r="A140" s="178" t="s">
        <v>134</v>
      </c>
      <c r="B140" s="178" t="s">
        <v>13</v>
      </c>
      <c r="C140" s="178" t="n">
        <v>14</v>
      </c>
      <c r="D140" s="178" t="s">
        <v>133</v>
      </c>
      <c r="E140" s="178" t="s">
        <v>12</v>
      </c>
      <c r="F140" s="178" t="n">
        <v>39</v>
      </c>
      <c r="G140" s="178" t="s">
        <v>135</v>
      </c>
      <c r="H140" s="178" t="s">
        <v>13</v>
      </c>
      <c r="I140" s="178" t="n">
        <v>7</v>
      </c>
      <c r="J140" s="178" t="s">
        <v>134</v>
      </c>
      <c r="K140" s="178" t="s">
        <v>12</v>
      </c>
      <c r="L140" s="178" t="n">
        <v>41</v>
      </c>
      <c r="M140" s="178" t="s">
        <v>133</v>
      </c>
      <c r="N140" s="178" t="s">
        <v>12</v>
      </c>
      <c r="O140" s="178" t="n">
        <v>9</v>
      </c>
      <c r="P140" s="178" t="s">
        <v>135</v>
      </c>
      <c r="Q140" s="178" t="s">
        <v>13</v>
      </c>
      <c r="R140" s="178" t="n">
        <v>11</v>
      </c>
      <c r="S140" s="178" t="s">
        <v>133</v>
      </c>
      <c r="T140" s="178" t="s">
        <v>50</v>
      </c>
      <c r="U140" s="178" t="n">
        <v>5</v>
      </c>
    </row>
    <row r="141" s="178" customFormat="true" ht="13.8" hidden="false" customHeight="false" outlineLevel="0" collapsed="false">
      <c r="A141" s="178" t="s">
        <v>134</v>
      </c>
      <c r="B141" s="178" t="s">
        <v>13</v>
      </c>
      <c r="C141" s="178" t="n">
        <v>9</v>
      </c>
      <c r="D141" s="178" t="s">
        <v>133</v>
      </c>
      <c r="E141" s="178" t="s">
        <v>12</v>
      </c>
      <c r="F141" s="178" t="n">
        <v>49</v>
      </c>
      <c r="G141" s="178" t="s">
        <v>135</v>
      </c>
      <c r="H141" s="178" t="s">
        <v>13</v>
      </c>
      <c r="I141" s="178" t="n">
        <v>30</v>
      </c>
      <c r="J141" s="178" t="s">
        <v>134</v>
      </c>
      <c r="K141" s="178" t="s">
        <v>12</v>
      </c>
      <c r="L141" s="178" t="n">
        <v>17</v>
      </c>
      <c r="M141" s="178" t="s">
        <v>133</v>
      </c>
      <c r="N141" s="178" t="s">
        <v>12</v>
      </c>
      <c r="O141" s="178" t="n">
        <v>11</v>
      </c>
      <c r="P141" s="178" t="s">
        <v>133</v>
      </c>
      <c r="Q141" s="178" t="s">
        <v>12</v>
      </c>
      <c r="R141" s="178" t="n">
        <v>12</v>
      </c>
      <c r="S141" s="178" t="s">
        <v>133</v>
      </c>
      <c r="T141" s="178" t="s">
        <v>50</v>
      </c>
      <c r="U141" s="178" t="n">
        <v>4</v>
      </c>
    </row>
    <row r="142" s="178" customFormat="true" ht="13.8" hidden="false" customHeight="false" outlineLevel="0" collapsed="false">
      <c r="A142" s="178" t="s">
        <v>134</v>
      </c>
      <c r="B142" s="178" t="s">
        <v>13</v>
      </c>
      <c r="C142" s="178" t="n">
        <v>8</v>
      </c>
      <c r="D142" s="178" t="s">
        <v>134</v>
      </c>
      <c r="E142" s="178" t="s">
        <v>12</v>
      </c>
      <c r="F142" s="178" t="n">
        <v>17</v>
      </c>
      <c r="G142" s="178" t="s">
        <v>135</v>
      </c>
      <c r="H142" s="178" t="s">
        <v>13</v>
      </c>
      <c r="I142" s="178" t="n">
        <v>24</v>
      </c>
      <c r="J142" s="178" t="s">
        <v>134</v>
      </c>
      <c r="K142" s="178" t="s">
        <v>12</v>
      </c>
      <c r="L142" s="178" t="n">
        <v>56</v>
      </c>
      <c r="M142" s="178" t="s">
        <v>133</v>
      </c>
      <c r="N142" s="178" t="s">
        <v>12</v>
      </c>
      <c r="O142" s="178" t="n">
        <v>22</v>
      </c>
      <c r="P142" s="178" t="s">
        <v>133</v>
      </c>
      <c r="Q142" s="178" t="s">
        <v>12</v>
      </c>
      <c r="R142" s="178" t="n">
        <v>13</v>
      </c>
      <c r="S142" s="178" t="s">
        <v>133</v>
      </c>
      <c r="T142" s="178" t="s">
        <v>50</v>
      </c>
      <c r="U142" s="178" t="n">
        <v>2</v>
      </c>
    </row>
    <row r="143" s="178" customFormat="true" ht="13.8" hidden="false" customHeight="false" outlineLevel="0" collapsed="false">
      <c r="A143" s="178" t="s">
        <v>134</v>
      </c>
      <c r="B143" s="178" t="s">
        <v>13</v>
      </c>
      <c r="C143" s="178" t="n">
        <v>9</v>
      </c>
      <c r="D143" s="178" t="s">
        <v>134</v>
      </c>
      <c r="E143" s="178" t="s">
        <v>12</v>
      </c>
      <c r="F143" s="178" t="n">
        <v>14</v>
      </c>
      <c r="G143" s="178" t="s">
        <v>135</v>
      </c>
      <c r="H143" s="178" t="s">
        <v>13</v>
      </c>
      <c r="I143" s="178" t="n">
        <v>8</v>
      </c>
      <c r="J143" s="178" t="s">
        <v>134</v>
      </c>
      <c r="K143" s="178" t="s">
        <v>12</v>
      </c>
      <c r="L143" s="178" t="n">
        <v>59</v>
      </c>
      <c r="M143" s="178" t="s">
        <v>133</v>
      </c>
      <c r="N143" s="178" t="s">
        <v>12</v>
      </c>
      <c r="O143" s="178" t="n">
        <v>18</v>
      </c>
      <c r="P143" s="178" t="s">
        <v>133</v>
      </c>
      <c r="Q143" s="178" t="s">
        <v>12</v>
      </c>
      <c r="R143" s="178" t="n">
        <v>11</v>
      </c>
      <c r="S143" s="178" t="s">
        <v>134</v>
      </c>
      <c r="T143" s="178" t="s">
        <v>50</v>
      </c>
      <c r="U143" s="178" t="n">
        <v>5</v>
      </c>
    </row>
    <row r="144" s="178" customFormat="true" ht="13.8" hidden="false" customHeight="false" outlineLevel="0" collapsed="false">
      <c r="A144" s="178" t="s">
        <v>135</v>
      </c>
      <c r="B144" s="178" t="s">
        <v>13</v>
      </c>
      <c r="C144" s="178" t="n">
        <v>8</v>
      </c>
      <c r="D144" s="178" t="s">
        <v>134</v>
      </c>
      <c r="E144" s="178" t="s">
        <v>12</v>
      </c>
      <c r="F144" s="178" t="n">
        <v>53</v>
      </c>
      <c r="G144" s="178" t="s">
        <v>135</v>
      </c>
      <c r="H144" s="178" t="s">
        <v>13</v>
      </c>
      <c r="I144" s="178" t="n">
        <v>7</v>
      </c>
      <c r="J144" s="178" t="s">
        <v>134</v>
      </c>
      <c r="K144" s="178" t="s">
        <v>12</v>
      </c>
      <c r="L144" s="178" t="n">
        <v>13</v>
      </c>
      <c r="M144" s="178" t="s">
        <v>133</v>
      </c>
      <c r="N144" s="178" t="s">
        <v>12</v>
      </c>
      <c r="O144" s="178" t="n">
        <v>13</v>
      </c>
      <c r="P144" s="178" t="s">
        <v>133</v>
      </c>
      <c r="Q144" s="178" t="s">
        <v>12</v>
      </c>
      <c r="R144" s="178" t="n">
        <v>30</v>
      </c>
      <c r="S144" s="178" t="s">
        <v>134</v>
      </c>
      <c r="T144" s="178" t="s">
        <v>50</v>
      </c>
      <c r="U144" s="178" t="n">
        <v>4</v>
      </c>
    </row>
    <row r="145" s="178" customFormat="true" ht="13.8" hidden="false" customHeight="false" outlineLevel="0" collapsed="false">
      <c r="A145" s="178" t="s">
        <v>135</v>
      </c>
      <c r="B145" s="178" t="s">
        <v>13</v>
      </c>
      <c r="C145" s="178" t="n">
        <v>10</v>
      </c>
      <c r="D145" s="178" t="s">
        <v>134</v>
      </c>
      <c r="E145" s="178" t="s">
        <v>12</v>
      </c>
      <c r="F145" s="178" t="n">
        <v>24</v>
      </c>
      <c r="G145" s="178" t="s">
        <v>135</v>
      </c>
      <c r="H145" s="178" t="s">
        <v>13</v>
      </c>
      <c r="I145" s="178" t="n">
        <v>8</v>
      </c>
      <c r="J145" s="178" t="s">
        <v>134</v>
      </c>
      <c r="K145" s="178" t="s">
        <v>12</v>
      </c>
      <c r="L145" s="178" t="n">
        <v>19</v>
      </c>
      <c r="M145" s="178" t="s">
        <v>134</v>
      </c>
      <c r="N145" s="178" t="s">
        <v>12</v>
      </c>
      <c r="O145" s="178" t="n">
        <v>43</v>
      </c>
      <c r="P145" s="178" t="s">
        <v>133</v>
      </c>
      <c r="Q145" s="178" t="s">
        <v>12</v>
      </c>
      <c r="R145" s="178" t="n">
        <v>10</v>
      </c>
      <c r="S145" s="178" t="s">
        <v>134</v>
      </c>
      <c r="T145" s="178" t="s">
        <v>50</v>
      </c>
      <c r="U145" s="178" t="n">
        <v>3</v>
      </c>
    </row>
    <row r="146" s="178" customFormat="true" ht="13.8" hidden="false" customHeight="false" outlineLevel="0" collapsed="false">
      <c r="A146" s="178" t="s">
        <v>135</v>
      </c>
      <c r="B146" s="178" t="s">
        <v>13</v>
      </c>
      <c r="C146" s="178" t="n">
        <v>35</v>
      </c>
      <c r="D146" s="178" t="s">
        <v>134</v>
      </c>
      <c r="E146" s="178" t="s">
        <v>12</v>
      </c>
      <c r="F146" s="178" t="n">
        <v>20</v>
      </c>
      <c r="G146" s="178" t="s">
        <v>135</v>
      </c>
      <c r="H146" s="178" t="s">
        <v>13</v>
      </c>
      <c r="I146" s="178" t="n">
        <v>34</v>
      </c>
      <c r="J146" s="178" t="s">
        <v>135</v>
      </c>
      <c r="K146" s="178" t="s">
        <v>12</v>
      </c>
      <c r="L146" s="178" t="n">
        <v>32</v>
      </c>
      <c r="M146" s="178" t="s">
        <v>134</v>
      </c>
      <c r="N146" s="178" t="s">
        <v>12</v>
      </c>
      <c r="O146" s="178" t="n">
        <v>9</v>
      </c>
      <c r="P146" s="178" t="s">
        <v>134</v>
      </c>
      <c r="Q146" s="178" t="s">
        <v>12</v>
      </c>
      <c r="R146" s="178" t="n">
        <v>30</v>
      </c>
      <c r="S146" s="178" t="s">
        <v>134</v>
      </c>
      <c r="T146" s="178" t="s">
        <v>50</v>
      </c>
      <c r="U146" s="178" t="n">
        <v>3</v>
      </c>
    </row>
    <row r="147" s="178" customFormat="true" ht="13.8" hidden="false" customHeight="false" outlineLevel="0" collapsed="false">
      <c r="A147" s="178" t="s">
        <v>168</v>
      </c>
      <c r="B147" s="178" t="s">
        <v>13</v>
      </c>
      <c r="C147" s="178" t="n">
        <v>7</v>
      </c>
      <c r="D147" s="178" t="s">
        <v>134</v>
      </c>
      <c r="E147" s="178" t="s">
        <v>12</v>
      </c>
      <c r="F147" s="178" t="n">
        <v>35</v>
      </c>
      <c r="G147" s="178" t="s">
        <v>135</v>
      </c>
      <c r="H147" s="178" t="s">
        <v>13</v>
      </c>
      <c r="I147" s="178" t="n">
        <v>8</v>
      </c>
      <c r="J147" s="178" t="s">
        <v>135</v>
      </c>
      <c r="K147" s="178" t="s">
        <v>12</v>
      </c>
      <c r="L147" s="178" t="n">
        <v>9</v>
      </c>
      <c r="M147" s="178" t="s">
        <v>134</v>
      </c>
      <c r="N147" s="178" t="s">
        <v>12</v>
      </c>
      <c r="O147" s="178" t="n">
        <v>51</v>
      </c>
      <c r="P147" s="178" t="s">
        <v>134</v>
      </c>
      <c r="Q147" s="178" t="s">
        <v>12</v>
      </c>
      <c r="R147" s="178" t="n">
        <v>17</v>
      </c>
      <c r="S147" s="178" t="s">
        <v>134</v>
      </c>
      <c r="T147" s="178" t="s">
        <v>50</v>
      </c>
      <c r="U147" s="178" t="n">
        <v>2</v>
      </c>
    </row>
    <row r="148" s="178" customFormat="true" ht="13.8" hidden="false" customHeight="false" outlineLevel="0" collapsed="false">
      <c r="A148" s="178" t="s">
        <v>168</v>
      </c>
      <c r="B148" s="178" t="s">
        <v>13</v>
      </c>
      <c r="C148" s="178" t="n">
        <v>6</v>
      </c>
      <c r="D148" s="178" t="s">
        <v>134</v>
      </c>
      <c r="E148" s="178" t="s">
        <v>12</v>
      </c>
      <c r="F148" s="178" t="n">
        <v>28</v>
      </c>
      <c r="G148" s="178" t="s">
        <v>135</v>
      </c>
      <c r="H148" s="178" t="s">
        <v>13</v>
      </c>
      <c r="I148" s="178" t="n">
        <v>11</v>
      </c>
      <c r="J148" s="178" t="s">
        <v>135</v>
      </c>
      <c r="K148" s="178" t="s">
        <v>12</v>
      </c>
      <c r="L148" s="178" t="n">
        <v>31</v>
      </c>
      <c r="M148" s="178" t="s">
        <v>134</v>
      </c>
      <c r="N148" s="178" t="s">
        <v>12</v>
      </c>
      <c r="O148" s="178" t="n">
        <v>34</v>
      </c>
      <c r="P148" s="178" t="s">
        <v>134</v>
      </c>
      <c r="Q148" s="178" t="s">
        <v>12</v>
      </c>
      <c r="R148" s="178" t="n">
        <v>18</v>
      </c>
      <c r="S148" s="178" t="s">
        <v>134</v>
      </c>
      <c r="T148" s="178" t="s">
        <v>50</v>
      </c>
      <c r="U148" s="178" t="n">
        <v>2</v>
      </c>
    </row>
    <row r="149" s="178" customFormat="true" ht="13.8" hidden="false" customHeight="false" outlineLevel="0" collapsed="false">
      <c r="A149" s="178" t="s">
        <v>168</v>
      </c>
      <c r="B149" s="178" t="s">
        <v>13</v>
      </c>
      <c r="C149" s="178" t="n">
        <v>15</v>
      </c>
      <c r="D149" s="178" t="s">
        <v>134</v>
      </c>
      <c r="E149" s="178" t="s">
        <v>12</v>
      </c>
      <c r="F149" s="178" t="n">
        <v>10</v>
      </c>
      <c r="G149" s="178" t="s">
        <v>135</v>
      </c>
      <c r="H149" s="178" t="s">
        <v>13</v>
      </c>
      <c r="I149" s="178" t="n">
        <v>25</v>
      </c>
      <c r="J149" s="178" t="s">
        <v>135</v>
      </c>
      <c r="K149" s="178" t="s">
        <v>12</v>
      </c>
      <c r="L149" s="178" t="n">
        <v>36</v>
      </c>
      <c r="M149" s="178" t="s">
        <v>134</v>
      </c>
      <c r="N149" s="178" t="s">
        <v>12</v>
      </c>
      <c r="O149" s="178" t="n">
        <v>17</v>
      </c>
      <c r="P149" s="178" t="s">
        <v>134</v>
      </c>
      <c r="Q149" s="178" t="s">
        <v>12</v>
      </c>
      <c r="R149" s="178" t="n">
        <v>8</v>
      </c>
      <c r="S149" s="178" t="s">
        <v>134</v>
      </c>
      <c r="T149" s="178" t="s">
        <v>50</v>
      </c>
      <c r="U149" s="178" t="n">
        <v>2</v>
      </c>
    </row>
    <row r="150" s="178" customFormat="true" ht="13.8" hidden="false" customHeight="false" outlineLevel="0" collapsed="false">
      <c r="A150" s="178" t="s">
        <v>168</v>
      </c>
      <c r="B150" s="178" t="s">
        <v>13</v>
      </c>
      <c r="C150" s="178" t="n">
        <v>9</v>
      </c>
      <c r="D150" s="178" t="s">
        <v>135</v>
      </c>
      <c r="E150" s="178" t="s">
        <v>12</v>
      </c>
      <c r="F150" s="178" t="n">
        <v>11</v>
      </c>
      <c r="G150" s="178" t="s">
        <v>135</v>
      </c>
      <c r="H150" s="178" t="s">
        <v>13</v>
      </c>
      <c r="I150" s="178" t="n">
        <v>31</v>
      </c>
      <c r="J150" s="178" t="s">
        <v>135</v>
      </c>
      <c r="K150" s="178" t="s">
        <v>12</v>
      </c>
      <c r="L150" s="178" t="n">
        <v>19</v>
      </c>
      <c r="M150" s="178" t="s">
        <v>134</v>
      </c>
      <c r="N150" s="178" t="s">
        <v>12</v>
      </c>
      <c r="O150" s="178" t="n">
        <v>38</v>
      </c>
      <c r="P150" s="178" t="s">
        <v>134</v>
      </c>
      <c r="Q150" s="178" t="s">
        <v>12</v>
      </c>
      <c r="R150" s="178" t="n">
        <v>12</v>
      </c>
      <c r="S150" s="178" t="s">
        <v>134</v>
      </c>
      <c r="T150" s="178" t="s">
        <v>50</v>
      </c>
      <c r="U150" s="178" t="n">
        <v>2</v>
      </c>
    </row>
    <row r="151" s="178" customFormat="true" ht="13.8" hidden="false" customHeight="false" outlineLevel="0" collapsed="false">
      <c r="A151" s="178" t="s">
        <v>168</v>
      </c>
      <c r="B151" s="178" t="s">
        <v>13</v>
      </c>
      <c r="C151" s="178" t="n">
        <v>9</v>
      </c>
      <c r="D151" s="178" t="s">
        <v>135</v>
      </c>
      <c r="E151" s="178" t="s">
        <v>12</v>
      </c>
      <c r="F151" s="178" t="n">
        <v>103</v>
      </c>
      <c r="G151" s="178" t="s">
        <v>135</v>
      </c>
      <c r="H151" s="178" t="s">
        <v>13</v>
      </c>
      <c r="I151" s="178" t="n">
        <v>12</v>
      </c>
      <c r="J151" s="178" t="s">
        <v>135</v>
      </c>
      <c r="K151" s="178" t="s">
        <v>12</v>
      </c>
      <c r="L151" s="178" t="n">
        <v>8</v>
      </c>
      <c r="M151" s="178" t="s">
        <v>135</v>
      </c>
      <c r="N151" s="178" t="s">
        <v>12</v>
      </c>
      <c r="O151" s="178" t="n">
        <v>37</v>
      </c>
      <c r="P151" s="178" t="s">
        <v>135</v>
      </c>
      <c r="Q151" s="178" t="s">
        <v>12</v>
      </c>
      <c r="R151" s="178" t="n">
        <v>8</v>
      </c>
      <c r="S151" s="178" t="s">
        <v>134</v>
      </c>
      <c r="T151" s="178" t="s">
        <v>50</v>
      </c>
      <c r="U151" s="178" t="n">
        <v>6</v>
      </c>
    </row>
    <row r="152" s="178" customFormat="true" ht="13.8" hidden="false" customHeight="false" outlineLevel="0" collapsed="false">
      <c r="A152" s="178" t="s">
        <v>168</v>
      </c>
      <c r="B152" s="178" t="s">
        <v>13</v>
      </c>
      <c r="C152" s="178" t="n">
        <v>23</v>
      </c>
      <c r="D152" s="178" t="s">
        <v>135</v>
      </c>
      <c r="E152" s="178" t="s">
        <v>12</v>
      </c>
      <c r="F152" s="178" t="n">
        <v>113</v>
      </c>
      <c r="G152" s="178" t="s">
        <v>133</v>
      </c>
      <c r="H152" s="178" t="s">
        <v>12</v>
      </c>
      <c r="I152" s="178" t="n">
        <v>72</v>
      </c>
      <c r="J152" s="178" t="s">
        <v>135</v>
      </c>
      <c r="K152" s="178" t="s">
        <v>12</v>
      </c>
      <c r="L152" s="178" t="n">
        <v>73</v>
      </c>
      <c r="M152" s="178" t="s">
        <v>135</v>
      </c>
      <c r="N152" s="178" t="s">
        <v>12</v>
      </c>
      <c r="O152" s="178" t="n">
        <v>37</v>
      </c>
      <c r="P152" s="178" t="s">
        <v>135</v>
      </c>
      <c r="Q152" s="178" t="s">
        <v>12</v>
      </c>
      <c r="R152" s="178" t="n">
        <v>11</v>
      </c>
      <c r="S152" s="178" t="s">
        <v>135</v>
      </c>
      <c r="T152" s="178" t="s">
        <v>50</v>
      </c>
      <c r="U152" s="178" t="n">
        <v>2</v>
      </c>
    </row>
    <row r="153" s="178" customFormat="true" ht="13.8" hidden="false" customHeight="false" outlineLevel="0" collapsed="false">
      <c r="A153" s="178" t="s">
        <v>133</v>
      </c>
      <c r="B153" s="178" t="s">
        <v>12</v>
      </c>
      <c r="C153" s="178" t="n">
        <v>25</v>
      </c>
      <c r="D153" s="178" t="s">
        <v>135</v>
      </c>
      <c r="E153" s="178" t="s">
        <v>12</v>
      </c>
      <c r="F153" s="178" t="n">
        <v>35</v>
      </c>
      <c r="G153" s="178" t="s">
        <v>133</v>
      </c>
      <c r="H153" s="178" t="s">
        <v>12</v>
      </c>
      <c r="I153" s="178" t="n">
        <v>106</v>
      </c>
      <c r="J153" s="178" t="s">
        <v>133</v>
      </c>
      <c r="K153" s="178" t="s">
        <v>50</v>
      </c>
      <c r="L153" s="178" t="n">
        <v>2</v>
      </c>
      <c r="M153" s="178" t="s">
        <v>135</v>
      </c>
      <c r="N153" s="178" t="s">
        <v>12</v>
      </c>
      <c r="O153" s="178" t="n">
        <v>16</v>
      </c>
      <c r="P153" s="178" t="s">
        <v>135</v>
      </c>
      <c r="Q153" s="178" t="s">
        <v>12</v>
      </c>
      <c r="R153" s="178" t="n">
        <v>8</v>
      </c>
      <c r="S153" s="178" t="s">
        <v>135</v>
      </c>
      <c r="T153" s="178" t="s">
        <v>50</v>
      </c>
      <c r="U153" s="178" t="n">
        <v>5</v>
      </c>
    </row>
    <row r="154" s="178" customFormat="true" ht="13.8" hidden="false" customHeight="false" outlineLevel="0" collapsed="false">
      <c r="A154" s="178" t="s">
        <v>133</v>
      </c>
      <c r="B154" s="178" t="s">
        <v>12</v>
      </c>
      <c r="C154" s="178" t="n">
        <v>15</v>
      </c>
      <c r="D154" s="178" t="s">
        <v>135</v>
      </c>
      <c r="E154" s="178" t="s">
        <v>12</v>
      </c>
      <c r="F154" s="178" t="n">
        <v>42</v>
      </c>
      <c r="G154" s="178" t="s">
        <v>133</v>
      </c>
      <c r="H154" s="178" t="s">
        <v>12</v>
      </c>
      <c r="I154" s="178" t="n">
        <v>68</v>
      </c>
      <c r="J154" s="178" t="s">
        <v>133</v>
      </c>
      <c r="K154" s="178" t="s">
        <v>50</v>
      </c>
      <c r="L154" s="178" t="n">
        <v>3</v>
      </c>
      <c r="M154" s="178" t="s">
        <v>135</v>
      </c>
      <c r="N154" s="178" t="s">
        <v>12</v>
      </c>
      <c r="O154" s="178" t="n">
        <v>11</v>
      </c>
      <c r="P154" s="178" t="s">
        <v>133</v>
      </c>
      <c r="Q154" s="178" t="s">
        <v>50</v>
      </c>
      <c r="R154" s="178" t="n">
        <v>3</v>
      </c>
      <c r="S154" s="178" t="s">
        <v>135</v>
      </c>
      <c r="T154" s="178" t="s">
        <v>50</v>
      </c>
      <c r="U154" s="178" t="n">
        <v>4</v>
      </c>
    </row>
    <row r="155" s="178" customFormat="true" ht="13.8" hidden="false" customHeight="false" outlineLevel="0" collapsed="false">
      <c r="A155" s="178" t="s">
        <v>133</v>
      </c>
      <c r="B155" s="178" t="s">
        <v>12</v>
      </c>
      <c r="C155" s="178" t="n">
        <v>54</v>
      </c>
      <c r="D155" s="178" t="s">
        <v>135</v>
      </c>
      <c r="E155" s="178" t="s">
        <v>12</v>
      </c>
      <c r="F155" s="178" t="n">
        <v>21</v>
      </c>
      <c r="G155" s="178" t="s">
        <v>133</v>
      </c>
      <c r="H155" s="178" t="s">
        <v>12</v>
      </c>
      <c r="I155" s="178" t="n">
        <v>13</v>
      </c>
      <c r="J155" s="178" t="s">
        <v>133</v>
      </c>
      <c r="K155" s="178" t="s">
        <v>50</v>
      </c>
      <c r="L155" s="178" t="n">
        <v>2</v>
      </c>
      <c r="M155" s="178" t="s">
        <v>133</v>
      </c>
      <c r="N155" s="178" t="s">
        <v>50</v>
      </c>
      <c r="O155" s="178" t="n">
        <v>2</v>
      </c>
      <c r="P155" s="178" t="s">
        <v>133</v>
      </c>
      <c r="Q155" s="178" t="s">
        <v>50</v>
      </c>
      <c r="R155" s="178" t="n">
        <v>2</v>
      </c>
      <c r="S155" s="178" t="s">
        <v>135</v>
      </c>
      <c r="T155" s="178" t="s">
        <v>50</v>
      </c>
      <c r="U155" s="178" t="n">
        <v>3</v>
      </c>
    </row>
    <row r="156" s="178" customFormat="true" ht="13.8" hidden="false" customHeight="false" outlineLevel="0" collapsed="false">
      <c r="A156" s="178" t="s">
        <v>133</v>
      </c>
      <c r="B156" s="178" t="s">
        <v>12</v>
      </c>
      <c r="C156" s="178" t="n">
        <v>10</v>
      </c>
      <c r="D156" s="178" t="s">
        <v>133</v>
      </c>
      <c r="E156" s="178" t="s">
        <v>50</v>
      </c>
      <c r="F156" s="178" t="n">
        <v>4</v>
      </c>
      <c r="G156" s="178" t="s">
        <v>133</v>
      </c>
      <c r="H156" s="178" t="s">
        <v>12</v>
      </c>
      <c r="I156" s="178" t="n">
        <v>22</v>
      </c>
      <c r="J156" s="178" t="s">
        <v>133</v>
      </c>
      <c r="K156" s="178" t="s">
        <v>50</v>
      </c>
      <c r="L156" s="178" t="n">
        <v>2</v>
      </c>
      <c r="M156" s="178" t="s">
        <v>133</v>
      </c>
      <c r="N156" s="178" t="s">
        <v>50</v>
      </c>
      <c r="O156" s="178" t="n">
        <v>2</v>
      </c>
      <c r="P156" s="178" t="s">
        <v>133</v>
      </c>
      <c r="Q156" s="178" t="s">
        <v>50</v>
      </c>
      <c r="R156" s="178" t="n">
        <v>3</v>
      </c>
      <c r="S156" s="178" t="s">
        <v>135</v>
      </c>
      <c r="T156" s="178" t="s">
        <v>50</v>
      </c>
      <c r="U156" s="178" t="n">
        <v>2</v>
      </c>
    </row>
    <row r="157" s="178" customFormat="true" ht="13.8" hidden="false" customHeight="false" outlineLevel="0" collapsed="false">
      <c r="A157" s="178" t="s">
        <v>133</v>
      </c>
      <c r="B157" s="178" t="s">
        <v>12</v>
      </c>
      <c r="C157" s="178" t="n">
        <v>11</v>
      </c>
      <c r="D157" s="178" t="s">
        <v>134</v>
      </c>
      <c r="E157" s="178" t="s">
        <v>50</v>
      </c>
      <c r="F157" s="178" t="n">
        <v>5</v>
      </c>
      <c r="G157" s="178" t="s">
        <v>133</v>
      </c>
      <c r="H157" s="178" t="s">
        <v>12</v>
      </c>
      <c r="I157" s="178" t="n">
        <v>27</v>
      </c>
      <c r="J157" s="178" t="s">
        <v>133</v>
      </c>
      <c r="K157" s="178" t="s">
        <v>50</v>
      </c>
      <c r="L157" s="178" t="n">
        <v>2</v>
      </c>
      <c r="M157" s="178" t="s">
        <v>133</v>
      </c>
      <c r="N157" s="178" t="s">
        <v>50</v>
      </c>
      <c r="O157" s="178" t="n">
        <v>2</v>
      </c>
      <c r="P157" s="178" t="s">
        <v>133</v>
      </c>
      <c r="Q157" s="178" t="s">
        <v>50</v>
      </c>
      <c r="R157" s="178" t="n">
        <v>2</v>
      </c>
      <c r="S157" s="178" t="s">
        <v>135</v>
      </c>
      <c r="T157" s="178" t="s">
        <v>50</v>
      </c>
      <c r="U157" s="178" t="n">
        <v>3</v>
      </c>
    </row>
    <row r="158" s="178" customFormat="true" ht="13.8" hidden="false" customHeight="false" outlineLevel="0" collapsed="false">
      <c r="A158" s="178" t="s">
        <v>133</v>
      </c>
      <c r="B158" s="178" t="s">
        <v>12</v>
      </c>
      <c r="C158" s="178" t="n">
        <v>31</v>
      </c>
      <c r="D158" s="178" t="s">
        <v>134</v>
      </c>
      <c r="E158" s="178" t="s">
        <v>50</v>
      </c>
      <c r="F158" s="178" t="n">
        <v>2</v>
      </c>
      <c r="G158" s="178" t="s">
        <v>133</v>
      </c>
      <c r="H158" s="178" t="s">
        <v>12</v>
      </c>
      <c r="I158" s="178" t="n">
        <v>91</v>
      </c>
      <c r="J158" s="178" t="s">
        <v>133</v>
      </c>
      <c r="K158" s="178" t="s">
        <v>50</v>
      </c>
      <c r="L158" s="178" t="n">
        <v>3</v>
      </c>
      <c r="M158" s="178" t="s">
        <v>133</v>
      </c>
      <c r="N158" s="178" t="s">
        <v>50</v>
      </c>
      <c r="O158" s="178" t="n">
        <v>2</v>
      </c>
      <c r="P158" s="178" t="s">
        <v>133</v>
      </c>
      <c r="Q158" s="178" t="s">
        <v>50</v>
      </c>
      <c r="R158" s="178" t="n">
        <v>3</v>
      </c>
      <c r="S158" s="178" t="s">
        <v>135</v>
      </c>
      <c r="T158" s="178" t="s">
        <v>50</v>
      </c>
      <c r="U158" s="178" t="n">
        <v>4</v>
      </c>
    </row>
    <row r="159" s="178" customFormat="true" ht="13.8" hidden="false" customHeight="false" outlineLevel="0" collapsed="false">
      <c r="A159" s="178" t="s">
        <v>133</v>
      </c>
      <c r="B159" s="178" t="s">
        <v>12</v>
      </c>
      <c r="C159" s="178" t="n">
        <v>32</v>
      </c>
      <c r="D159" s="178" t="s">
        <v>134</v>
      </c>
      <c r="E159" s="178" t="s">
        <v>50</v>
      </c>
      <c r="F159" s="178" t="n">
        <v>6</v>
      </c>
      <c r="G159" s="178" t="s">
        <v>133</v>
      </c>
      <c r="H159" s="178" t="s">
        <v>12</v>
      </c>
      <c r="I159" s="178" t="n">
        <v>47</v>
      </c>
      <c r="J159" s="178" t="s">
        <v>134</v>
      </c>
      <c r="K159" s="178" t="s">
        <v>50</v>
      </c>
      <c r="L159" s="178" t="n">
        <v>4</v>
      </c>
      <c r="M159" s="178" t="s">
        <v>133</v>
      </c>
      <c r="N159" s="178" t="s">
        <v>50</v>
      </c>
      <c r="O159" s="178" t="n">
        <v>2</v>
      </c>
      <c r="P159" s="178" t="s">
        <v>133</v>
      </c>
      <c r="Q159" s="178" t="s">
        <v>50</v>
      </c>
      <c r="R159" s="178" t="n">
        <v>5</v>
      </c>
      <c r="S159" s="178" t="s">
        <v>135</v>
      </c>
      <c r="T159" s="178" t="s">
        <v>50</v>
      </c>
      <c r="U159" s="178" t="n">
        <v>2</v>
      </c>
    </row>
    <row r="160" s="178" customFormat="true" ht="13.8" hidden="false" customHeight="false" outlineLevel="0" collapsed="false">
      <c r="A160" s="178" t="s">
        <v>133</v>
      </c>
      <c r="B160" s="178" t="s">
        <v>12</v>
      </c>
      <c r="C160" s="178" t="n">
        <v>33</v>
      </c>
      <c r="D160" s="178" t="s">
        <v>134</v>
      </c>
      <c r="E160" s="178" t="s">
        <v>50</v>
      </c>
      <c r="F160" s="178" t="n">
        <v>4</v>
      </c>
      <c r="G160" s="178" t="s">
        <v>133</v>
      </c>
      <c r="H160" s="178" t="s">
        <v>12</v>
      </c>
      <c r="I160" s="178" t="n">
        <v>14</v>
      </c>
      <c r="J160" s="178" t="s">
        <v>134</v>
      </c>
      <c r="K160" s="178" t="s">
        <v>50</v>
      </c>
      <c r="L160" s="178" t="n">
        <v>3</v>
      </c>
      <c r="M160" s="178" t="s">
        <v>133</v>
      </c>
      <c r="N160" s="178" t="s">
        <v>50</v>
      </c>
      <c r="O160" s="178" t="n">
        <v>4</v>
      </c>
      <c r="P160" s="178" t="s">
        <v>133</v>
      </c>
      <c r="Q160" s="178" t="s">
        <v>50</v>
      </c>
      <c r="R160" s="178" t="n">
        <v>3</v>
      </c>
      <c r="S160" s="178" t="s">
        <v>135</v>
      </c>
      <c r="T160" s="178" t="s">
        <v>50</v>
      </c>
      <c r="U160" s="178" t="n">
        <v>5</v>
      </c>
    </row>
    <row r="161" s="178" customFormat="true" ht="13.8" hidden="false" customHeight="false" outlineLevel="0" collapsed="false">
      <c r="A161" s="178" t="s">
        <v>133</v>
      </c>
      <c r="B161" s="178" t="s">
        <v>12</v>
      </c>
      <c r="C161" s="178" t="n">
        <v>13</v>
      </c>
      <c r="D161" s="178" t="s">
        <v>134</v>
      </c>
      <c r="E161" s="178" t="s">
        <v>50</v>
      </c>
      <c r="F161" s="178" t="n">
        <v>4</v>
      </c>
      <c r="G161" s="178" t="s">
        <v>133</v>
      </c>
      <c r="H161" s="178" t="s">
        <v>12</v>
      </c>
      <c r="I161" s="178" t="n">
        <v>30</v>
      </c>
      <c r="J161" s="178" t="s">
        <v>134</v>
      </c>
      <c r="K161" s="178" t="s">
        <v>50</v>
      </c>
      <c r="L161" s="178" t="n">
        <v>4</v>
      </c>
      <c r="M161" s="178" t="s">
        <v>133</v>
      </c>
      <c r="N161" s="178" t="s">
        <v>50</v>
      </c>
      <c r="O161" s="178" t="n">
        <v>2</v>
      </c>
      <c r="P161" s="178" t="s">
        <v>133</v>
      </c>
      <c r="Q161" s="178" t="s">
        <v>50</v>
      </c>
      <c r="R161" s="178" t="n">
        <v>3</v>
      </c>
    </row>
    <row r="162" s="178" customFormat="true" ht="13.8" hidden="false" customHeight="false" outlineLevel="0" collapsed="false">
      <c r="A162" s="178" t="s">
        <v>133</v>
      </c>
      <c r="B162" s="178" t="s">
        <v>12</v>
      </c>
      <c r="C162" s="178" t="n">
        <v>14</v>
      </c>
      <c r="D162" s="178" t="s">
        <v>134</v>
      </c>
      <c r="E162" s="178" t="s">
        <v>50</v>
      </c>
      <c r="F162" s="178" t="n">
        <v>3</v>
      </c>
      <c r="G162" s="178" t="s">
        <v>133</v>
      </c>
      <c r="H162" s="178" t="s">
        <v>12</v>
      </c>
      <c r="I162" s="178" t="n">
        <v>21</v>
      </c>
      <c r="J162" s="178" t="s">
        <v>134</v>
      </c>
      <c r="K162" s="178" t="s">
        <v>50</v>
      </c>
      <c r="L162" s="178" t="n">
        <v>3</v>
      </c>
      <c r="M162" s="178" t="s">
        <v>133</v>
      </c>
      <c r="N162" s="178" t="s">
        <v>50</v>
      </c>
      <c r="O162" s="178" t="n">
        <v>5</v>
      </c>
      <c r="P162" s="178" t="s">
        <v>133</v>
      </c>
      <c r="Q162" s="178" t="s">
        <v>50</v>
      </c>
      <c r="R162" s="178" t="n">
        <v>2</v>
      </c>
    </row>
    <row r="163" s="178" customFormat="true" ht="13.8" hidden="false" customHeight="false" outlineLevel="0" collapsed="false">
      <c r="A163" s="178" t="s">
        <v>133</v>
      </c>
      <c r="B163" s="178" t="s">
        <v>12</v>
      </c>
      <c r="C163" s="178" t="n">
        <v>16</v>
      </c>
      <c r="D163" s="178" t="s">
        <v>134</v>
      </c>
      <c r="E163" s="178" t="s">
        <v>50</v>
      </c>
      <c r="F163" s="178" t="n">
        <v>3</v>
      </c>
      <c r="G163" s="178" t="s">
        <v>133</v>
      </c>
      <c r="H163" s="178" t="s">
        <v>12</v>
      </c>
      <c r="I163" s="178" t="n">
        <v>101</v>
      </c>
      <c r="J163" s="178" t="s">
        <v>134</v>
      </c>
      <c r="K163" s="178" t="s">
        <v>50</v>
      </c>
      <c r="L163" s="178" t="n">
        <v>2</v>
      </c>
      <c r="M163" s="178" t="s">
        <v>133</v>
      </c>
      <c r="N163" s="178" t="s">
        <v>50</v>
      </c>
      <c r="O163" s="178" t="n">
        <v>5</v>
      </c>
      <c r="P163" s="178" t="s">
        <v>133</v>
      </c>
      <c r="Q163" s="178" t="s">
        <v>50</v>
      </c>
      <c r="R163" s="178" t="n">
        <v>3</v>
      </c>
    </row>
    <row r="164" s="178" customFormat="true" ht="13.8" hidden="false" customHeight="false" outlineLevel="0" collapsed="false">
      <c r="A164" s="178" t="s">
        <v>133</v>
      </c>
      <c r="B164" s="178" t="s">
        <v>12</v>
      </c>
      <c r="C164" s="178" t="n">
        <v>17</v>
      </c>
      <c r="D164" s="178" t="s">
        <v>135</v>
      </c>
      <c r="E164" s="178" t="s">
        <v>50</v>
      </c>
      <c r="F164" s="178" t="n">
        <v>2</v>
      </c>
      <c r="G164" s="178" t="s">
        <v>134</v>
      </c>
      <c r="H164" s="178" t="s">
        <v>12</v>
      </c>
      <c r="I164" s="178" t="n">
        <v>89</v>
      </c>
      <c r="J164" s="178" t="s">
        <v>134</v>
      </c>
      <c r="K164" s="178" t="s">
        <v>50</v>
      </c>
      <c r="L164" s="178" t="n">
        <v>3</v>
      </c>
      <c r="M164" s="178" t="s">
        <v>133</v>
      </c>
      <c r="N164" s="178" t="s">
        <v>50</v>
      </c>
      <c r="O164" s="178" t="n">
        <v>4</v>
      </c>
      <c r="P164" s="178" t="s">
        <v>133</v>
      </c>
      <c r="Q164" s="178" t="s">
        <v>50</v>
      </c>
      <c r="R164" s="178" t="n">
        <v>2</v>
      </c>
    </row>
    <row r="165" s="178" customFormat="true" ht="13.8" hidden="false" customHeight="false" outlineLevel="0" collapsed="false">
      <c r="A165" s="178" t="s">
        <v>133</v>
      </c>
      <c r="B165" s="178" t="s">
        <v>12</v>
      </c>
      <c r="C165" s="178" t="n">
        <v>17</v>
      </c>
      <c r="D165" s="178" t="s">
        <v>135</v>
      </c>
      <c r="E165" s="178" t="s">
        <v>50</v>
      </c>
      <c r="F165" s="178" t="n">
        <v>3</v>
      </c>
      <c r="G165" s="178" t="s">
        <v>134</v>
      </c>
      <c r="H165" s="178" t="s">
        <v>12</v>
      </c>
      <c r="I165" s="178" t="n">
        <v>26</v>
      </c>
      <c r="J165" s="178" t="s">
        <v>135</v>
      </c>
      <c r="K165" s="178" t="s">
        <v>50</v>
      </c>
      <c r="L165" s="178" t="n">
        <v>4</v>
      </c>
      <c r="M165" s="178" t="s">
        <v>133</v>
      </c>
      <c r="N165" s="178" t="s">
        <v>50</v>
      </c>
      <c r="O165" s="178" t="n">
        <v>3</v>
      </c>
      <c r="P165" s="178" t="s">
        <v>133</v>
      </c>
      <c r="Q165" s="178" t="s">
        <v>50</v>
      </c>
      <c r="R165" s="178" t="n">
        <v>2</v>
      </c>
    </row>
    <row r="166" s="178" customFormat="true" ht="13.8" hidden="false" customHeight="false" outlineLevel="0" collapsed="false">
      <c r="A166" s="178" t="s">
        <v>133</v>
      </c>
      <c r="B166" s="178" t="s">
        <v>12</v>
      </c>
      <c r="C166" s="178" t="n">
        <v>19</v>
      </c>
      <c r="D166" s="178" t="s">
        <v>135</v>
      </c>
      <c r="E166" s="178" t="s">
        <v>50</v>
      </c>
      <c r="F166" s="178" t="n">
        <v>3</v>
      </c>
      <c r="G166" s="178" t="s">
        <v>134</v>
      </c>
      <c r="H166" s="178" t="s">
        <v>12</v>
      </c>
      <c r="I166" s="178" t="n">
        <v>38</v>
      </c>
      <c r="J166" s="178" t="s">
        <v>135</v>
      </c>
      <c r="K166" s="178" t="s">
        <v>50</v>
      </c>
      <c r="L166" s="178" t="n">
        <v>4</v>
      </c>
      <c r="M166" s="178" t="s">
        <v>133</v>
      </c>
      <c r="N166" s="178" t="s">
        <v>50</v>
      </c>
      <c r="O166" s="178" t="n">
        <v>5</v>
      </c>
      <c r="P166" s="178" t="s">
        <v>133</v>
      </c>
      <c r="Q166" s="178" t="s">
        <v>50</v>
      </c>
      <c r="R166" s="178" t="n">
        <v>4</v>
      </c>
    </row>
    <row r="167" s="178" customFormat="true" ht="13.8" hidden="false" customHeight="false" outlineLevel="0" collapsed="false">
      <c r="A167" s="178" t="s">
        <v>133</v>
      </c>
      <c r="B167" s="178" t="s">
        <v>12</v>
      </c>
      <c r="C167" s="178" t="n">
        <v>19</v>
      </c>
      <c r="G167" s="178" t="s">
        <v>134</v>
      </c>
      <c r="H167" s="178" t="s">
        <v>12</v>
      </c>
      <c r="I167" s="178" t="n">
        <v>19</v>
      </c>
      <c r="J167" s="178" t="s">
        <v>135</v>
      </c>
      <c r="K167" s="178" t="s">
        <v>50</v>
      </c>
      <c r="L167" s="178" t="n">
        <v>2</v>
      </c>
      <c r="M167" s="178" t="s">
        <v>133</v>
      </c>
      <c r="N167" s="178" t="s">
        <v>50</v>
      </c>
      <c r="O167" s="178" t="n">
        <v>6</v>
      </c>
      <c r="P167" s="178" t="s">
        <v>134</v>
      </c>
      <c r="Q167" s="178" t="s">
        <v>50</v>
      </c>
      <c r="R167" s="178" t="n">
        <v>2</v>
      </c>
    </row>
    <row r="168" s="178" customFormat="true" ht="13.8" hidden="false" customHeight="false" outlineLevel="0" collapsed="false">
      <c r="A168" s="178" t="s">
        <v>133</v>
      </c>
      <c r="B168" s="178" t="s">
        <v>12</v>
      </c>
      <c r="C168" s="178" t="n">
        <v>22</v>
      </c>
      <c r="G168" s="178" t="s">
        <v>134</v>
      </c>
      <c r="H168" s="178" t="s">
        <v>12</v>
      </c>
      <c r="I168" s="178" t="n">
        <v>26</v>
      </c>
      <c r="J168" s="178" t="s">
        <v>135</v>
      </c>
      <c r="K168" s="178" t="s">
        <v>50</v>
      </c>
      <c r="L168" s="178" t="n">
        <v>3</v>
      </c>
      <c r="M168" s="178" t="s">
        <v>133</v>
      </c>
      <c r="N168" s="178" t="s">
        <v>50</v>
      </c>
      <c r="O168" s="178" t="n">
        <v>5</v>
      </c>
      <c r="P168" s="178" t="s">
        <v>134</v>
      </c>
      <c r="Q168" s="178" t="s">
        <v>50</v>
      </c>
      <c r="R168" s="178" t="n">
        <v>3</v>
      </c>
    </row>
    <row r="169" s="178" customFormat="true" ht="13.8" hidden="false" customHeight="false" outlineLevel="0" collapsed="false">
      <c r="A169" s="178" t="s">
        <v>133</v>
      </c>
      <c r="B169" s="178" t="s">
        <v>12</v>
      </c>
      <c r="C169" s="178" t="n">
        <v>11</v>
      </c>
      <c r="G169" s="178" t="s">
        <v>134</v>
      </c>
      <c r="H169" s="178" t="s">
        <v>12</v>
      </c>
      <c r="I169" s="178" t="n">
        <v>41</v>
      </c>
      <c r="J169" s="178" t="s">
        <v>135</v>
      </c>
      <c r="K169" s="178" t="s">
        <v>50</v>
      </c>
      <c r="L169" s="178" t="n">
        <v>2</v>
      </c>
      <c r="M169" s="178" t="s">
        <v>134</v>
      </c>
      <c r="N169" s="178" t="s">
        <v>50</v>
      </c>
      <c r="O169" s="178" t="n">
        <v>4</v>
      </c>
      <c r="P169" s="178" t="s">
        <v>134</v>
      </c>
      <c r="Q169" s="178" t="s">
        <v>50</v>
      </c>
      <c r="R169" s="178" t="n">
        <v>3</v>
      </c>
    </row>
    <row r="170" s="178" customFormat="true" ht="13.8" hidden="false" customHeight="false" outlineLevel="0" collapsed="false">
      <c r="A170" s="178" t="s">
        <v>133</v>
      </c>
      <c r="B170" s="178" t="s">
        <v>12</v>
      </c>
      <c r="C170" s="178" t="n">
        <v>120</v>
      </c>
      <c r="G170" s="178" t="s">
        <v>134</v>
      </c>
      <c r="H170" s="178" t="s">
        <v>12</v>
      </c>
      <c r="I170" s="178" t="n">
        <v>40</v>
      </c>
      <c r="J170" s="178" t="s">
        <v>135</v>
      </c>
      <c r="K170" s="178" t="s">
        <v>50</v>
      </c>
      <c r="L170" s="178" t="n">
        <v>2</v>
      </c>
      <c r="M170" s="178" t="s">
        <v>134</v>
      </c>
      <c r="N170" s="178" t="s">
        <v>50</v>
      </c>
      <c r="O170" s="178" t="n">
        <v>4</v>
      </c>
      <c r="P170" s="178" t="s">
        <v>134</v>
      </c>
      <c r="Q170" s="178" t="s">
        <v>50</v>
      </c>
      <c r="R170" s="178" t="n">
        <v>3</v>
      </c>
    </row>
    <row r="171" s="178" customFormat="true" ht="13.8" hidden="false" customHeight="false" outlineLevel="0" collapsed="false">
      <c r="A171" s="178" t="s">
        <v>133</v>
      </c>
      <c r="B171" s="178" t="s">
        <v>12</v>
      </c>
      <c r="C171" s="178" t="n">
        <v>27</v>
      </c>
      <c r="G171" s="178" t="s">
        <v>134</v>
      </c>
      <c r="H171" s="178" t="s">
        <v>12</v>
      </c>
      <c r="I171" s="178" t="n">
        <v>56</v>
      </c>
      <c r="M171" s="178" t="s">
        <v>134</v>
      </c>
      <c r="N171" s="178" t="s">
        <v>50</v>
      </c>
      <c r="O171" s="178" t="n">
        <v>4</v>
      </c>
      <c r="P171" s="178" t="s">
        <v>134</v>
      </c>
      <c r="Q171" s="178" t="s">
        <v>50</v>
      </c>
      <c r="R171" s="178" t="n">
        <v>4</v>
      </c>
    </row>
    <row r="172" s="178" customFormat="true" ht="13.8" hidden="false" customHeight="false" outlineLevel="0" collapsed="false">
      <c r="A172" s="178" t="s">
        <v>133</v>
      </c>
      <c r="B172" s="178" t="s">
        <v>12</v>
      </c>
      <c r="C172" s="178" t="n">
        <v>38</v>
      </c>
      <c r="G172" s="178" t="s">
        <v>134</v>
      </c>
      <c r="H172" s="178" t="s">
        <v>12</v>
      </c>
      <c r="I172" s="178" t="n">
        <v>47</v>
      </c>
      <c r="M172" s="178" t="s">
        <v>134</v>
      </c>
      <c r="N172" s="178" t="s">
        <v>50</v>
      </c>
      <c r="O172" s="178" t="n">
        <v>3</v>
      </c>
      <c r="P172" s="178" t="s">
        <v>134</v>
      </c>
      <c r="Q172" s="178" t="s">
        <v>50</v>
      </c>
      <c r="R172" s="178" t="n">
        <v>2</v>
      </c>
    </row>
    <row r="173" s="178" customFormat="true" ht="13.8" hidden="false" customHeight="false" outlineLevel="0" collapsed="false">
      <c r="A173" s="178" t="s">
        <v>133</v>
      </c>
      <c r="B173" s="178" t="s">
        <v>12</v>
      </c>
      <c r="C173" s="178" t="n">
        <v>44</v>
      </c>
      <c r="G173" s="178" t="s">
        <v>134</v>
      </c>
      <c r="H173" s="178" t="s">
        <v>12</v>
      </c>
      <c r="I173" s="178" t="n">
        <v>16</v>
      </c>
      <c r="M173" s="178" t="s">
        <v>134</v>
      </c>
      <c r="N173" s="178" t="s">
        <v>50</v>
      </c>
      <c r="O173" s="178" t="n">
        <v>3</v>
      </c>
      <c r="P173" s="178" t="s">
        <v>134</v>
      </c>
      <c r="Q173" s="178" t="s">
        <v>50</v>
      </c>
      <c r="R173" s="178" t="n">
        <v>5</v>
      </c>
    </row>
    <row r="174" s="178" customFormat="true" ht="13.8" hidden="false" customHeight="false" outlineLevel="0" collapsed="false">
      <c r="A174" s="178" t="s">
        <v>133</v>
      </c>
      <c r="B174" s="178" t="s">
        <v>12</v>
      </c>
      <c r="C174" s="178" t="n">
        <v>60</v>
      </c>
      <c r="G174" s="178" t="s">
        <v>134</v>
      </c>
      <c r="H174" s="178" t="s">
        <v>12</v>
      </c>
      <c r="I174" s="178" t="n">
        <v>20</v>
      </c>
      <c r="M174" s="178" t="s">
        <v>134</v>
      </c>
      <c r="N174" s="178" t="s">
        <v>50</v>
      </c>
      <c r="O174" s="178" t="n">
        <v>5</v>
      </c>
      <c r="P174" s="178" t="s">
        <v>134</v>
      </c>
      <c r="Q174" s="178" t="s">
        <v>50</v>
      </c>
      <c r="R174" s="178" t="n">
        <v>3</v>
      </c>
    </row>
    <row r="175" s="178" customFormat="true" ht="13.8" hidden="false" customHeight="false" outlineLevel="0" collapsed="false">
      <c r="A175" s="178" t="s">
        <v>133</v>
      </c>
      <c r="B175" s="178" t="s">
        <v>12</v>
      </c>
      <c r="C175" s="178" t="n">
        <v>104</v>
      </c>
      <c r="G175" s="178" t="s">
        <v>134</v>
      </c>
      <c r="H175" s="178" t="s">
        <v>12</v>
      </c>
      <c r="I175" s="178" t="n">
        <v>9</v>
      </c>
      <c r="M175" s="178" t="s">
        <v>134</v>
      </c>
      <c r="N175" s="178" t="s">
        <v>50</v>
      </c>
      <c r="O175" s="178" t="n">
        <v>4</v>
      </c>
      <c r="P175" s="178" t="s">
        <v>134</v>
      </c>
      <c r="Q175" s="178" t="s">
        <v>50</v>
      </c>
      <c r="R175" s="178" t="n">
        <v>2</v>
      </c>
    </row>
    <row r="176" s="178" customFormat="true" ht="13.8" hidden="false" customHeight="false" outlineLevel="0" collapsed="false">
      <c r="A176" s="178" t="s">
        <v>134</v>
      </c>
      <c r="B176" s="178" t="s">
        <v>12</v>
      </c>
      <c r="C176" s="178" t="n">
        <v>16</v>
      </c>
      <c r="G176" s="178" t="s">
        <v>134</v>
      </c>
      <c r="H176" s="178" t="s">
        <v>12</v>
      </c>
      <c r="I176" s="178" t="n">
        <v>56</v>
      </c>
      <c r="M176" s="178" t="s">
        <v>135</v>
      </c>
      <c r="N176" s="178" t="s">
        <v>50</v>
      </c>
      <c r="O176" s="178" t="n">
        <v>3</v>
      </c>
      <c r="P176" s="178" t="s">
        <v>134</v>
      </c>
      <c r="Q176" s="178" t="s">
        <v>50</v>
      </c>
      <c r="R176" s="178" t="n">
        <v>3</v>
      </c>
    </row>
    <row r="177" s="178" customFormat="true" ht="13.8" hidden="false" customHeight="false" outlineLevel="0" collapsed="false">
      <c r="A177" s="178" t="s">
        <v>134</v>
      </c>
      <c r="B177" s="178" t="s">
        <v>12</v>
      </c>
      <c r="C177" s="178" t="n">
        <v>37</v>
      </c>
      <c r="G177" s="178" t="s">
        <v>134</v>
      </c>
      <c r="H177" s="178" t="s">
        <v>12</v>
      </c>
      <c r="I177" s="178" t="n">
        <v>17</v>
      </c>
      <c r="M177" s="178" t="s">
        <v>135</v>
      </c>
      <c r="N177" s="178" t="s">
        <v>50</v>
      </c>
      <c r="O177" s="178" t="n">
        <v>4</v>
      </c>
      <c r="P177" s="178" t="s">
        <v>134</v>
      </c>
      <c r="Q177" s="178" t="s">
        <v>50</v>
      </c>
      <c r="R177" s="178" t="n">
        <v>3</v>
      </c>
    </row>
    <row r="178" s="178" customFormat="true" ht="13.8" hidden="false" customHeight="false" outlineLevel="0" collapsed="false">
      <c r="A178" s="178" t="s">
        <v>134</v>
      </c>
      <c r="B178" s="178" t="s">
        <v>12</v>
      </c>
      <c r="C178" s="178" t="n">
        <v>45</v>
      </c>
      <c r="G178" s="178" t="s">
        <v>134</v>
      </c>
      <c r="H178" s="178" t="s">
        <v>12</v>
      </c>
      <c r="I178" s="178" t="n">
        <v>26</v>
      </c>
      <c r="M178" s="178" t="s">
        <v>135</v>
      </c>
      <c r="N178" s="178" t="s">
        <v>50</v>
      </c>
      <c r="O178" s="178" t="n">
        <v>3</v>
      </c>
      <c r="P178" s="178" t="s">
        <v>135</v>
      </c>
      <c r="Q178" s="178" t="s">
        <v>50</v>
      </c>
      <c r="R178" s="178" t="n">
        <v>3</v>
      </c>
    </row>
    <row r="179" s="178" customFormat="true" ht="13.8" hidden="false" customHeight="false" outlineLevel="0" collapsed="false">
      <c r="A179" s="178" t="s">
        <v>134</v>
      </c>
      <c r="B179" s="178" t="s">
        <v>12</v>
      </c>
      <c r="C179" s="178" t="n">
        <v>49</v>
      </c>
      <c r="G179" s="178" t="s">
        <v>134</v>
      </c>
      <c r="H179" s="178" t="s">
        <v>12</v>
      </c>
      <c r="I179" s="178" t="n">
        <v>71</v>
      </c>
      <c r="M179" s="178" t="s">
        <v>135</v>
      </c>
      <c r="N179" s="178" t="s">
        <v>50</v>
      </c>
      <c r="O179" s="178" t="n">
        <v>3</v>
      </c>
      <c r="P179" s="178" t="s">
        <v>135</v>
      </c>
      <c r="Q179" s="178" t="s">
        <v>50</v>
      </c>
      <c r="R179" s="178" t="n">
        <v>2</v>
      </c>
    </row>
    <row r="180" s="178" customFormat="true" ht="13.8" hidden="false" customHeight="false" outlineLevel="0" collapsed="false">
      <c r="A180" s="178" t="s">
        <v>134</v>
      </c>
      <c r="B180" s="178" t="s">
        <v>12</v>
      </c>
      <c r="C180" s="178" t="n">
        <v>62</v>
      </c>
      <c r="G180" s="178" t="s">
        <v>134</v>
      </c>
      <c r="H180" s="178" t="s">
        <v>12</v>
      </c>
      <c r="I180" s="178" t="n">
        <v>16</v>
      </c>
      <c r="M180" s="178" t="s">
        <v>135</v>
      </c>
      <c r="N180" s="178" t="s">
        <v>50</v>
      </c>
      <c r="O180" s="178" t="n">
        <v>3</v>
      </c>
      <c r="P180" s="178" t="s">
        <v>135</v>
      </c>
      <c r="Q180" s="178" t="s">
        <v>50</v>
      </c>
      <c r="R180" s="178" t="n">
        <v>2</v>
      </c>
    </row>
    <row r="181" s="178" customFormat="true" ht="13.8" hidden="false" customHeight="false" outlineLevel="0" collapsed="false">
      <c r="A181" s="178" t="s">
        <v>134</v>
      </c>
      <c r="B181" s="178" t="s">
        <v>12</v>
      </c>
      <c r="C181" s="178" t="n">
        <v>63</v>
      </c>
      <c r="G181" s="178" t="s">
        <v>134</v>
      </c>
      <c r="H181" s="178" t="s">
        <v>12</v>
      </c>
      <c r="I181" s="178" t="n">
        <v>26</v>
      </c>
      <c r="M181" s="178" t="s">
        <v>135</v>
      </c>
      <c r="N181" s="178" t="s">
        <v>50</v>
      </c>
      <c r="O181" s="178" t="n">
        <v>2</v>
      </c>
      <c r="P181" s="178" t="s">
        <v>135</v>
      </c>
      <c r="Q181" s="178" t="s">
        <v>50</v>
      </c>
      <c r="R181" s="178" t="n">
        <v>3</v>
      </c>
    </row>
    <row r="182" s="178" customFormat="true" ht="13.8" hidden="false" customHeight="false" outlineLevel="0" collapsed="false">
      <c r="A182" s="178" t="s">
        <v>134</v>
      </c>
      <c r="B182" s="178" t="s">
        <v>12</v>
      </c>
      <c r="C182" s="178" t="n">
        <v>64</v>
      </c>
      <c r="G182" s="178" t="s">
        <v>134</v>
      </c>
      <c r="H182" s="178" t="s">
        <v>12</v>
      </c>
      <c r="I182" s="178" t="n">
        <v>23</v>
      </c>
      <c r="P182" s="178" t="s">
        <v>135</v>
      </c>
      <c r="Q182" s="178" t="s">
        <v>50</v>
      </c>
      <c r="R182" s="178" t="n">
        <v>3</v>
      </c>
    </row>
    <row r="183" s="178" customFormat="true" ht="13.8" hidden="false" customHeight="false" outlineLevel="0" collapsed="false">
      <c r="A183" s="178" t="s">
        <v>134</v>
      </c>
      <c r="B183" s="178" t="s">
        <v>12</v>
      </c>
      <c r="C183" s="178" t="n">
        <v>125</v>
      </c>
      <c r="G183" s="178" t="s">
        <v>134</v>
      </c>
      <c r="H183" s="178" t="s">
        <v>12</v>
      </c>
      <c r="I183" s="178" t="n">
        <v>18</v>
      </c>
      <c r="P183" s="178" t="s">
        <v>135</v>
      </c>
      <c r="Q183" s="178" t="s">
        <v>50</v>
      </c>
      <c r="R183" s="178" t="n">
        <v>3</v>
      </c>
    </row>
    <row r="184" s="178" customFormat="true" ht="13.8" hidden="false" customHeight="false" outlineLevel="0" collapsed="false">
      <c r="A184" s="178" t="s">
        <v>134</v>
      </c>
      <c r="B184" s="178" t="s">
        <v>12</v>
      </c>
      <c r="C184" s="178" t="n">
        <v>70</v>
      </c>
      <c r="G184" s="178" t="s">
        <v>134</v>
      </c>
      <c r="H184" s="178" t="s">
        <v>12</v>
      </c>
      <c r="I184" s="178" t="n">
        <v>32</v>
      </c>
      <c r="P184" s="178" t="s">
        <v>135</v>
      </c>
      <c r="Q184" s="178" t="s">
        <v>50</v>
      </c>
      <c r="R184" s="178" t="n">
        <v>3</v>
      </c>
    </row>
    <row r="185" s="178" customFormat="true" ht="13.8" hidden="false" customHeight="false" outlineLevel="0" collapsed="false">
      <c r="A185" s="178" t="s">
        <v>134</v>
      </c>
      <c r="B185" s="178" t="s">
        <v>12</v>
      </c>
      <c r="C185" s="178" t="n">
        <v>22</v>
      </c>
      <c r="G185" s="178" t="s">
        <v>135</v>
      </c>
      <c r="H185" s="178" t="s">
        <v>12</v>
      </c>
      <c r="I185" s="178" t="n">
        <v>18</v>
      </c>
      <c r="P185" s="178" t="s">
        <v>135</v>
      </c>
      <c r="Q185" s="178" t="s">
        <v>50</v>
      </c>
      <c r="R185" s="178" t="n">
        <v>2</v>
      </c>
    </row>
    <row r="186" s="178" customFormat="true" ht="13.8" hidden="false" customHeight="false" outlineLevel="0" collapsed="false">
      <c r="A186" s="178" t="s">
        <v>134</v>
      </c>
      <c r="B186" s="178" t="s">
        <v>12</v>
      </c>
      <c r="C186" s="178" t="n">
        <v>12</v>
      </c>
      <c r="G186" s="178" t="s">
        <v>135</v>
      </c>
      <c r="H186" s="178" t="s">
        <v>12</v>
      </c>
      <c r="I186" s="178" t="n">
        <v>11</v>
      </c>
      <c r="P186" s="178" t="s">
        <v>135</v>
      </c>
      <c r="Q186" s="178" t="s">
        <v>50</v>
      </c>
      <c r="R186" s="178" t="n">
        <v>2</v>
      </c>
    </row>
    <row r="187" s="178" customFormat="true" ht="13.8" hidden="false" customHeight="false" outlineLevel="0" collapsed="false">
      <c r="A187" s="178" t="s">
        <v>134</v>
      </c>
      <c r="B187" s="178" t="s">
        <v>12</v>
      </c>
      <c r="C187" s="178" t="n">
        <v>79</v>
      </c>
      <c r="G187" s="178" t="s">
        <v>135</v>
      </c>
      <c r="H187" s="178" t="s">
        <v>12</v>
      </c>
      <c r="I187" s="178" t="n">
        <v>48</v>
      </c>
      <c r="P187" s="178" t="s">
        <v>135</v>
      </c>
      <c r="Q187" s="178" t="s">
        <v>50</v>
      </c>
      <c r="R187" s="178" t="n">
        <v>2</v>
      </c>
    </row>
    <row r="188" s="178" customFormat="true" ht="13.8" hidden="false" customHeight="false" outlineLevel="0" collapsed="false">
      <c r="A188" s="178" t="s">
        <v>134</v>
      </c>
      <c r="B188" s="178" t="s">
        <v>12</v>
      </c>
      <c r="C188" s="178" t="n">
        <v>37</v>
      </c>
      <c r="G188" s="178" t="s">
        <v>135</v>
      </c>
      <c r="H188" s="178" t="s">
        <v>12</v>
      </c>
      <c r="I188" s="178" t="n">
        <v>8</v>
      </c>
      <c r="P188" s="178" t="s">
        <v>135</v>
      </c>
      <c r="Q188" s="178" t="s">
        <v>50</v>
      </c>
      <c r="R188" s="178" t="n">
        <v>5</v>
      </c>
    </row>
    <row r="189" s="178" customFormat="true" ht="13.8" hidden="false" customHeight="false" outlineLevel="0" collapsed="false">
      <c r="A189" s="178" t="s">
        <v>134</v>
      </c>
      <c r="B189" s="178" t="s">
        <v>12</v>
      </c>
      <c r="C189" s="178" t="n">
        <v>72</v>
      </c>
      <c r="G189" s="178" t="s">
        <v>135</v>
      </c>
      <c r="H189" s="178" t="s">
        <v>12</v>
      </c>
      <c r="I189" s="178" t="n">
        <v>39</v>
      </c>
    </row>
    <row r="190" s="178" customFormat="true" ht="13.8" hidden="false" customHeight="false" outlineLevel="0" collapsed="false">
      <c r="A190" s="178" t="s">
        <v>134</v>
      </c>
      <c r="B190" s="178" t="s">
        <v>12</v>
      </c>
      <c r="C190" s="178" t="n">
        <v>40</v>
      </c>
      <c r="G190" s="178" t="s">
        <v>135</v>
      </c>
      <c r="H190" s="178" t="s">
        <v>12</v>
      </c>
      <c r="I190" s="178" t="n">
        <v>18</v>
      </c>
    </row>
    <row r="191" s="178" customFormat="true" ht="13.8" hidden="false" customHeight="false" outlineLevel="0" collapsed="false">
      <c r="A191" s="178" t="s">
        <v>134</v>
      </c>
      <c r="B191" s="178" t="s">
        <v>12</v>
      </c>
      <c r="C191" s="178" t="n">
        <v>32</v>
      </c>
      <c r="G191" s="178" t="s">
        <v>135</v>
      </c>
      <c r="H191" s="178" t="s">
        <v>12</v>
      </c>
      <c r="I191" s="178" t="n">
        <v>14</v>
      </c>
    </row>
    <row r="192" s="178" customFormat="true" ht="13.8" hidden="false" customHeight="false" outlineLevel="0" collapsed="false">
      <c r="A192" s="178" t="s">
        <v>135</v>
      </c>
      <c r="B192" s="178" t="s">
        <v>12</v>
      </c>
      <c r="C192" s="178" t="n">
        <v>67</v>
      </c>
      <c r="G192" s="178" t="s">
        <v>135</v>
      </c>
      <c r="H192" s="178" t="s">
        <v>12</v>
      </c>
      <c r="I192" s="178" t="n">
        <v>32</v>
      </c>
    </row>
    <row r="193" s="178" customFormat="true" ht="13.8" hidden="false" customHeight="false" outlineLevel="0" collapsed="false">
      <c r="A193" s="178" t="s">
        <v>135</v>
      </c>
      <c r="B193" s="178" t="s">
        <v>12</v>
      </c>
      <c r="C193" s="178" t="n">
        <v>85</v>
      </c>
      <c r="G193" s="178" t="s">
        <v>135</v>
      </c>
      <c r="H193" s="178" t="s">
        <v>12</v>
      </c>
      <c r="I193" s="178" t="n">
        <v>57</v>
      </c>
    </row>
    <row r="194" s="178" customFormat="true" ht="13.8" hidden="false" customHeight="false" outlineLevel="0" collapsed="false">
      <c r="A194" s="178" t="s">
        <v>135</v>
      </c>
      <c r="B194" s="178" t="s">
        <v>12</v>
      </c>
      <c r="C194" s="178" t="n">
        <v>92</v>
      </c>
      <c r="G194" s="178" t="s">
        <v>135</v>
      </c>
      <c r="H194" s="178" t="s">
        <v>12</v>
      </c>
      <c r="I194" s="178" t="n">
        <v>25</v>
      </c>
    </row>
    <row r="195" s="178" customFormat="true" ht="13.8" hidden="false" customHeight="false" outlineLevel="0" collapsed="false">
      <c r="A195" s="178" t="s">
        <v>135</v>
      </c>
      <c r="B195" s="178" t="s">
        <v>12</v>
      </c>
      <c r="C195" s="178" t="n">
        <v>110</v>
      </c>
      <c r="G195" s="178" t="s">
        <v>135</v>
      </c>
      <c r="H195" s="178" t="s">
        <v>12</v>
      </c>
      <c r="I195" s="178" t="n">
        <v>19</v>
      </c>
    </row>
    <row r="196" s="178" customFormat="true" ht="13.8" hidden="false" customHeight="false" outlineLevel="0" collapsed="false">
      <c r="A196" s="178" t="s">
        <v>135</v>
      </c>
      <c r="B196" s="178" t="s">
        <v>12</v>
      </c>
      <c r="C196" s="178" t="n">
        <v>129</v>
      </c>
      <c r="G196" s="178" t="s">
        <v>135</v>
      </c>
      <c r="H196" s="178" t="s">
        <v>12</v>
      </c>
      <c r="I196" s="178" t="n">
        <v>43</v>
      </c>
    </row>
    <row r="197" s="178" customFormat="true" ht="13.8" hidden="false" customHeight="false" outlineLevel="0" collapsed="false">
      <c r="A197" s="178" t="s">
        <v>135</v>
      </c>
      <c r="B197" s="178" t="s">
        <v>12</v>
      </c>
      <c r="C197" s="178" t="n">
        <v>56</v>
      </c>
      <c r="G197" s="178" t="s">
        <v>135</v>
      </c>
      <c r="H197" s="178" t="s">
        <v>12</v>
      </c>
      <c r="I197" s="178" t="n">
        <v>49</v>
      </c>
    </row>
    <row r="198" s="178" customFormat="true" ht="13.8" hidden="false" customHeight="false" outlineLevel="0" collapsed="false">
      <c r="A198" s="178" t="s">
        <v>135</v>
      </c>
      <c r="B198" s="178" t="s">
        <v>12</v>
      </c>
      <c r="C198" s="178" t="n">
        <v>55</v>
      </c>
      <c r="G198" s="178" t="s">
        <v>133</v>
      </c>
      <c r="H198" s="178" t="s">
        <v>50</v>
      </c>
      <c r="I198" s="178" t="n">
        <v>4</v>
      </c>
    </row>
    <row r="199" s="178" customFormat="true" ht="13.8" hidden="false" customHeight="false" outlineLevel="0" collapsed="false">
      <c r="A199" s="178" t="s">
        <v>135</v>
      </c>
      <c r="B199" s="178" t="s">
        <v>12</v>
      </c>
      <c r="C199" s="178" t="n">
        <v>11</v>
      </c>
      <c r="G199" s="178" t="s">
        <v>133</v>
      </c>
      <c r="H199" s="178" t="s">
        <v>50</v>
      </c>
      <c r="I199" s="178" t="n">
        <v>6</v>
      </c>
    </row>
    <row r="200" s="178" customFormat="true" ht="13.8" hidden="false" customHeight="false" outlineLevel="0" collapsed="false">
      <c r="A200" s="178" t="s">
        <v>168</v>
      </c>
      <c r="B200" s="178" t="s">
        <v>12</v>
      </c>
      <c r="C200" s="178" t="n">
        <v>14</v>
      </c>
      <c r="G200" s="178" t="s">
        <v>133</v>
      </c>
      <c r="H200" s="178" t="s">
        <v>50</v>
      </c>
      <c r="I200" s="178" t="n">
        <v>3</v>
      </c>
    </row>
    <row r="201" s="178" customFormat="true" ht="13.8" hidden="false" customHeight="false" outlineLevel="0" collapsed="false">
      <c r="A201" s="178" t="s">
        <v>168</v>
      </c>
      <c r="B201" s="178" t="s">
        <v>12</v>
      </c>
      <c r="C201" s="178" t="n">
        <v>15</v>
      </c>
      <c r="G201" s="178" t="s">
        <v>134</v>
      </c>
      <c r="H201" s="178" t="s">
        <v>50</v>
      </c>
      <c r="I201" s="178" t="n">
        <v>3</v>
      </c>
    </row>
    <row r="202" s="178" customFormat="true" ht="13.8" hidden="false" customHeight="false" outlineLevel="0" collapsed="false">
      <c r="A202" s="178" t="s">
        <v>168</v>
      </c>
      <c r="B202" s="178" t="s">
        <v>12</v>
      </c>
      <c r="C202" s="178" t="n">
        <v>9</v>
      </c>
      <c r="G202" s="178" t="s">
        <v>134</v>
      </c>
      <c r="H202" s="178" t="s">
        <v>50</v>
      </c>
      <c r="I202" s="178" t="n">
        <v>5</v>
      </c>
    </row>
    <row r="203" s="178" customFormat="true" ht="13.8" hidden="false" customHeight="false" outlineLevel="0" collapsed="false">
      <c r="A203" s="178" t="s">
        <v>168</v>
      </c>
      <c r="B203" s="178" t="s">
        <v>12</v>
      </c>
      <c r="C203" s="178" t="n">
        <v>64</v>
      </c>
      <c r="G203" s="178" t="s">
        <v>134</v>
      </c>
      <c r="H203" s="178" t="s">
        <v>50</v>
      </c>
      <c r="I203" s="178" t="n">
        <v>2</v>
      </c>
    </row>
    <row r="204" s="178" customFormat="true" ht="13.8" hidden="false" customHeight="false" outlineLevel="0" collapsed="false">
      <c r="A204" s="178" t="s">
        <v>168</v>
      </c>
      <c r="B204" s="178" t="s">
        <v>12</v>
      </c>
      <c r="C204" s="178" t="n">
        <v>46</v>
      </c>
      <c r="G204" s="178" t="s">
        <v>134</v>
      </c>
      <c r="H204" s="178" t="s">
        <v>50</v>
      </c>
      <c r="I204" s="178" t="n">
        <v>3</v>
      </c>
    </row>
    <row r="205" s="178" customFormat="true" ht="13.8" hidden="false" customHeight="false" outlineLevel="0" collapsed="false">
      <c r="A205" s="178" t="s">
        <v>168</v>
      </c>
      <c r="B205" s="178" t="s">
        <v>12</v>
      </c>
      <c r="C205" s="178" t="n">
        <v>11</v>
      </c>
      <c r="G205" s="178" t="s">
        <v>134</v>
      </c>
      <c r="H205" s="178" t="s">
        <v>50</v>
      </c>
      <c r="I205" s="178" t="n">
        <v>2</v>
      </c>
    </row>
    <row r="206" s="178" customFormat="true" ht="13.8" hidden="false" customHeight="false" outlineLevel="0" collapsed="false">
      <c r="A206" s="178" t="s">
        <v>133</v>
      </c>
      <c r="B206" s="178" t="s">
        <v>50</v>
      </c>
      <c r="C206" s="178" t="n">
        <v>4</v>
      </c>
      <c r="G206" s="178" t="s">
        <v>134</v>
      </c>
      <c r="H206" s="178" t="s">
        <v>50</v>
      </c>
      <c r="I206" s="178" t="n">
        <v>4</v>
      </c>
    </row>
    <row r="207" s="178" customFormat="true" ht="13.8" hidden="false" customHeight="false" outlineLevel="0" collapsed="false">
      <c r="A207" s="178" t="s">
        <v>133</v>
      </c>
      <c r="B207" s="178" t="s">
        <v>50</v>
      </c>
      <c r="C207" s="178" t="n">
        <v>2</v>
      </c>
      <c r="G207" s="178" t="s">
        <v>134</v>
      </c>
      <c r="H207" s="178" t="s">
        <v>50</v>
      </c>
      <c r="I207" s="178" t="n">
        <v>3</v>
      </c>
    </row>
    <row r="208" s="178" customFormat="true" ht="13.8" hidden="false" customHeight="false" outlineLevel="0" collapsed="false">
      <c r="A208" s="178" t="s">
        <v>133</v>
      </c>
      <c r="B208" s="178" t="s">
        <v>50</v>
      </c>
      <c r="C208" s="178" t="n">
        <v>5</v>
      </c>
      <c r="G208" s="178" t="s">
        <v>135</v>
      </c>
      <c r="H208" s="178" t="s">
        <v>50</v>
      </c>
      <c r="I208" s="178" t="n">
        <v>2</v>
      </c>
    </row>
    <row r="209" s="178" customFormat="true" ht="13.8" hidden="false" customHeight="false" outlineLevel="0" collapsed="false">
      <c r="A209" s="178" t="s">
        <v>133</v>
      </c>
      <c r="B209" s="178" t="s">
        <v>50</v>
      </c>
      <c r="C209" s="178" t="n">
        <v>3</v>
      </c>
      <c r="G209" s="178" t="s">
        <v>135</v>
      </c>
      <c r="H209" s="178" t="s">
        <v>50</v>
      </c>
      <c r="I209" s="178" t="n">
        <v>4</v>
      </c>
    </row>
    <row r="210" s="178" customFormat="true" ht="13.8" hidden="false" customHeight="false" outlineLevel="0" collapsed="false">
      <c r="A210" s="178" t="s">
        <v>133</v>
      </c>
      <c r="B210" s="178" t="s">
        <v>50</v>
      </c>
      <c r="C210" s="178" t="n">
        <v>3</v>
      </c>
      <c r="G210" s="178" t="s">
        <v>135</v>
      </c>
      <c r="H210" s="178" t="s">
        <v>50</v>
      </c>
      <c r="I210" s="178" t="n">
        <v>4</v>
      </c>
    </row>
    <row r="211" s="178" customFormat="true" ht="13.8" hidden="false" customHeight="false" outlineLevel="0" collapsed="false">
      <c r="A211" s="178" t="s">
        <v>133</v>
      </c>
      <c r="B211" s="178" t="s">
        <v>50</v>
      </c>
      <c r="C211" s="178" t="n">
        <v>4</v>
      </c>
      <c r="G211" s="178" t="s">
        <v>135</v>
      </c>
      <c r="H211" s="178" t="s">
        <v>50</v>
      </c>
      <c r="I211" s="178" t="n">
        <v>4</v>
      </c>
    </row>
    <row r="212" s="178" customFormat="true" ht="13.8" hidden="false" customHeight="false" outlineLevel="0" collapsed="false">
      <c r="A212" s="178" t="s">
        <v>133</v>
      </c>
      <c r="B212" s="178" t="s">
        <v>50</v>
      </c>
      <c r="C212" s="178" t="n">
        <v>4</v>
      </c>
      <c r="G212" s="178" t="s">
        <v>135</v>
      </c>
      <c r="H212" s="178" t="s">
        <v>50</v>
      </c>
      <c r="I212" s="178" t="n">
        <v>4</v>
      </c>
    </row>
    <row r="213" s="178" customFormat="true" ht="13.8" hidden="false" customHeight="false" outlineLevel="0" collapsed="false">
      <c r="A213" s="178" t="s">
        <v>133</v>
      </c>
      <c r="B213" s="178" t="s">
        <v>50</v>
      </c>
      <c r="C213" s="178" t="n">
        <v>2</v>
      </c>
      <c r="G213" s="178" t="s">
        <v>135</v>
      </c>
      <c r="H213" s="178" t="s">
        <v>50</v>
      </c>
      <c r="I213" s="178" t="n">
        <v>4</v>
      </c>
    </row>
    <row r="214" s="178" customFormat="true" ht="13.8" hidden="false" customHeight="false" outlineLevel="0" collapsed="false">
      <c r="A214" s="178" t="s">
        <v>133</v>
      </c>
      <c r="B214" s="178" t="s">
        <v>50</v>
      </c>
      <c r="C214" s="178" t="n">
        <v>6</v>
      </c>
    </row>
    <row r="215" s="178" customFormat="true" ht="13.8" hidden="false" customHeight="false" outlineLevel="0" collapsed="false">
      <c r="A215" s="178" t="s">
        <v>134</v>
      </c>
      <c r="B215" s="178" t="s">
        <v>50</v>
      </c>
      <c r="C215" s="178" t="n">
        <v>2</v>
      </c>
    </row>
    <row r="216" s="178" customFormat="true" ht="13.8" hidden="false" customHeight="false" outlineLevel="0" collapsed="false">
      <c r="A216" s="178" t="s">
        <v>134</v>
      </c>
      <c r="B216" s="178" t="s">
        <v>50</v>
      </c>
      <c r="C216" s="178" t="n">
        <v>2</v>
      </c>
    </row>
    <row r="217" s="178" customFormat="true" ht="13.8" hidden="false" customHeight="false" outlineLevel="0" collapsed="false">
      <c r="A217" s="178" t="s">
        <v>134</v>
      </c>
      <c r="B217" s="178" t="s">
        <v>50</v>
      </c>
      <c r="C217" s="178" t="n">
        <v>2</v>
      </c>
    </row>
    <row r="218" s="178" customFormat="true" ht="13.8" hidden="false" customHeight="false" outlineLevel="0" collapsed="false">
      <c r="A218" s="178" t="s">
        <v>134</v>
      </c>
      <c r="B218" s="178" t="s">
        <v>50</v>
      </c>
      <c r="C218" s="178" t="n">
        <v>2</v>
      </c>
    </row>
    <row r="219" s="178" customFormat="true" ht="13.8" hidden="false" customHeight="false" outlineLevel="0" collapsed="false">
      <c r="A219" s="178" t="s">
        <v>134</v>
      </c>
      <c r="B219" s="178" t="s">
        <v>50</v>
      </c>
      <c r="C219" s="178" t="n">
        <v>5</v>
      </c>
    </row>
    <row r="220" s="178" customFormat="true" ht="13.8" hidden="false" customHeight="false" outlineLevel="0" collapsed="false">
      <c r="A220" s="178" t="s">
        <v>134</v>
      </c>
      <c r="B220" s="178" t="s">
        <v>50</v>
      </c>
      <c r="C220" s="178" t="n">
        <v>5</v>
      </c>
    </row>
    <row r="221" s="178" customFormat="true" ht="13.8" hidden="false" customHeight="false" outlineLevel="0" collapsed="false">
      <c r="A221" s="178" t="s">
        <v>134</v>
      </c>
      <c r="B221" s="178" t="s">
        <v>50</v>
      </c>
      <c r="C221" s="178" t="n">
        <v>3</v>
      </c>
    </row>
    <row r="222" s="178" customFormat="true" ht="13.8" hidden="false" customHeight="false" outlineLevel="0" collapsed="false">
      <c r="A222" s="178" t="s">
        <v>134</v>
      </c>
      <c r="B222" s="178" t="s">
        <v>50</v>
      </c>
      <c r="C222" s="178" t="n">
        <v>6</v>
      </c>
    </row>
    <row r="223" s="178" customFormat="true" ht="13.8" hidden="false" customHeight="false" outlineLevel="0" collapsed="false">
      <c r="A223" s="178" t="s">
        <v>134</v>
      </c>
      <c r="B223" s="178" t="s">
        <v>50</v>
      </c>
      <c r="C223" s="178" t="n">
        <v>4</v>
      </c>
    </row>
    <row r="224" s="178" customFormat="true" ht="13.8" hidden="false" customHeight="false" outlineLevel="0" collapsed="false">
      <c r="A224" s="178" t="s">
        <v>135</v>
      </c>
      <c r="B224" s="178" t="s">
        <v>50</v>
      </c>
      <c r="C224" s="178" t="n">
        <v>2</v>
      </c>
    </row>
    <row r="225" s="178" customFormat="true" ht="13.8" hidden="false" customHeight="false" outlineLevel="0" collapsed="false">
      <c r="A225" s="178" t="s">
        <v>135</v>
      </c>
      <c r="B225" s="178" t="s">
        <v>50</v>
      </c>
      <c r="C225" s="178" t="n">
        <v>3</v>
      </c>
    </row>
    <row r="226" s="178" customFormat="true" ht="13.8" hidden="false" customHeight="false" outlineLevel="0" collapsed="false">
      <c r="A226" s="178" t="s">
        <v>135</v>
      </c>
      <c r="B226" s="178" t="s">
        <v>50</v>
      </c>
      <c r="C226" s="178" t="n">
        <v>5</v>
      </c>
    </row>
    <row r="227" s="178" customFormat="true" ht="13.8" hidden="false" customHeight="false" outlineLevel="0" collapsed="false">
      <c r="A227" s="178" t="s">
        <v>168</v>
      </c>
      <c r="B227" s="178" t="s">
        <v>50</v>
      </c>
      <c r="C227" s="178" t="n">
        <v>5</v>
      </c>
    </row>
    <row r="228" s="178" customFormat="true" ht="13.8" hidden="false" customHeight="false" outlineLevel="0" collapsed="false">
      <c r="A228" s="178" t="s">
        <v>168</v>
      </c>
      <c r="B228" s="178" t="s">
        <v>50</v>
      </c>
      <c r="C228" s="178" t="n">
        <v>2</v>
      </c>
    </row>
    <row r="229" s="178" customFormat="true" ht="13.8" hidden="false" customHeight="false" outlineLevel="0" collapsed="false">
      <c r="A229" s="178" t="s">
        <v>168</v>
      </c>
      <c r="B229" s="178" t="s">
        <v>50</v>
      </c>
      <c r="C229" s="178" t="n">
        <v>6</v>
      </c>
    </row>
    <row r="231" customFormat="false" ht="13.8" hidden="false" customHeight="false" outlineLevel="0" collapsed="false">
      <c r="A231" s="0" t="s">
        <v>169</v>
      </c>
    </row>
    <row r="232" customFormat="false" ht="13.8" hidden="false" customHeight="false" outlineLevel="0" collapsed="false">
      <c r="A232" s="0" t="s">
        <v>170</v>
      </c>
    </row>
    <row r="233" customFormat="false" ht="13.8" hidden="false" customHeight="false" outlineLevel="0" collapsed="false">
      <c r="A233" s="0" t="s">
        <v>171</v>
      </c>
      <c r="B233" s="0" t="s">
        <v>172</v>
      </c>
      <c r="C233" s="0" t="s">
        <v>173</v>
      </c>
      <c r="D233" s="0" t="s">
        <v>174</v>
      </c>
      <c r="E233" s="0" t="s">
        <v>175</v>
      </c>
    </row>
    <row r="234" customFormat="false" ht="13.8" hidden="false" customHeight="false" outlineLevel="0" collapsed="false">
      <c r="A234" s="0" t="n">
        <v>6</v>
      </c>
      <c r="B234" s="0" t="n">
        <v>453.448932422237</v>
      </c>
      <c r="C234" s="0" t="n">
        <v>75.5748220703729</v>
      </c>
      <c r="D234" s="0" t="n">
        <v>1.80142518358642</v>
      </c>
      <c r="E234" s="0" t="n">
        <v>0.104663563129529</v>
      </c>
      <c r="F234" s="0" t="s">
        <v>176</v>
      </c>
    </row>
    <row r="235" customFormat="false" ht="13.8" hidden="false" customHeight="false" outlineLevel="0" collapsed="false">
      <c r="A235" s="0" t="n">
        <v>3</v>
      </c>
      <c r="B235" s="0" t="n">
        <v>172.133568336173</v>
      </c>
      <c r="C235" s="0" t="n">
        <v>57.3778561120577</v>
      </c>
      <c r="D235" s="0" t="n">
        <v>1.36767659054773</v>
      </c>
      <c r="E235" s="0" t="n">
        <v>0.256131495241361</v>
      </c>
      <c r="F235" s="0" t="s">
        <v>177</v>
      </c>
    </row>
    <row r="236" customFormat="false" ht="13.8" hidden="false" customHeight="false" outlineLevel="0" collapsed="false">
      <c r="A236" s="0" t="n">
        <v>12</v>
      </c>
      <c r="B236" s="0" t="n">
        <v>281.321737928561</v>
      </c>
      <c r="C236" s="0" t="n">
        <v>23.4434781607134</v>
      </c>
      <c r="D236" s="0" t="n">
        <v>0.558806104898832</v>
      </c>
      <c r="E236" s="0" t="n">
        <v>0.870842496554683</v>
      </c>
      <c r="F236" s="0" t="s">
        <v>178</v>
      </c>
    </row>
    <row r="237" customFormat="false" ht="13.8" hidden="false" customHeight="false" outlineLevel="0" collapsed="false">
      <c r="A237" s="0" t="n">
        <v>117</v>
      </c>
      <c r="B237" s="0" t="n">
        <v>4908.47705627706</v>
      </c>
      <c r="C237" s="0" t="n">
        <v>41.9527953527954</v>
      </c>
      <c r="D237" s="0" t="s">
        <v>179</v>
      </c>
      <c r="E237" s="0" t="s">
        <v>179</v>
      </c>
      <c r="F237" s="0" t="s">
        <v>180</v>
      </c>
    </row>
    <row r="239" customFormat="false" ht="13.8" hidden="false" customHeight="false" outlineLevel="0" collapsed="false">
      <c r="A239" s="0" t="s">
        <v>181</v>
      </c>
    </row>
    <row r="240" customFormat="false" ht="13.8" hidden="false" customHeight="false" outlineLevel="0" collapsed="false">
      <c r="A240" s="0" t="s">
        <v>170</v>
      </c>
    </row>
    <row r="241" customFormat="false" ht="13.8" hidden="false" customHeight="false" outlineLevel="0" collapsed="false">
      <c r="A241" s="0" t="s">
        <v>171</v>
      </c>
      <c r="B241" s="0" t="s">
        <v>172</v>
      </c>
      <c r="C241" s="0" t="s">
        <v>173</v>
      </c>
      <c r="D241" s="0" t="s">
        <v>174</v>
      </c>
      <c r="E241" s="0" t="s">
        <v>175</v>
      </c>
    </row>
    <row r="242" customFormat="false" ht="13.8" hidden="false" customHeight="false" outlineLevel="0" collapsed="false">
      <c r="A242" s="0" t="n">
        <v>5</v>
      </c>
      <c r="B242" s="0" t="n">
        <v>13570.6284632926</v>
      </c>
      <c r="C242" s="0" t="n">
        <v>2714.12569265852</v>
      </c>
      <c r="D242" s="0" t="n">
        <v>4.22548734393938</v>
      </c>
      <c r="E242" s="0" t="n">
        <v>0.0012790579417276</v>
      </c>
      <c r="F242" s="0" t="s">
        <v>176</v>
      </c>
    </row>
    <row r="243" customFormat="false" ht="13.8" hidden="false" customHeight="false" outlineLevel="0" collapsed="false">
      <c r="A243" s="0" t="n">
        <v>3</v>
      </c>
      <c r="B243" s="0" t="n">
        <v>3128.40491758514</v>
      </c>
      <c r="C243" s="0" t="n">
        <v>1042.80163919505</v>
      </c>
      <c r="D243" s="0" t="n">
        <v>1.62348602372274</v>
      </c>
      <c r="E243" s="0" t="n">
        <v>0.18639779851894</v>
      </c>
      <c r="F243" s="0" t="s">
        <v>177</v>
      </c>
    </row>
    <row r="244" customFormat="false" ht="13.8" hidden="false" customHeight="false" outlineLevel="0" collapsed="false">
      <c r="A244" s="0" t="n">
        <v>10</v>
      </c>
      <c r="B244" s="0" t="n">
        <v>19628.8619227934</v>
      </c>
      <c r="C244" s="0" t="n">
        <v>1962.88619227934</v>
      </c>
      <c r="D244" s="0" t="n">
        <v>3.05591991760171</v>
      </c>
      <c r="E244" s="0" t="n">
        <v>0.00149229781837116</v>
      </c>
      <c r="F244" s="0" t="s">
        <v>178</v>
      </c>
    </row>
    <row r="245" customFormat="false" ht="13.8" hidden="false" customHeight="false" outlineLevel="0" collapsed="false">
      <c r="A245" s="0" t="n">
        <v>148</v>
      </c>
      <c r="B245" s="0" t="n">
        <v>95063.7334388438</v>
      </c>
      <c r="C245" s="0" t="n">
        <v>642.322523235431</v>
      </c>
      <c r="D245" s="0" t="s">
        <v>179</v>
      </c>
      <c r="E245" s="0" t="s">
        <v>179</v>
      </c>
      <c r="F245" s="0" t="s">
        <v>180</v>
      </c>
    </row>
    <row r="247" customFormat="false" ht="13.8" hidden="false" customHeight="false" outlineLevel="0" collapsed="false">
      <c r="A247" s="0" t="s">
        <v>182</v>
      </c>
      <c r="B247" s="0" t="s">
        <v>183</v>
      </c>
    </row>
    <row r="248" customFormat="false" ht="13.8" hidden="false" customHeight="false" outlineLevel="0" collapsed="false">
      <c r="A248" s="0" t="s">
        <v>118</v>
      </c>
      <c r="B248" s="0" t="s">
        <v>184</v>
      </c>
      <c r="C248" s="0" t="s">
        <v>185</v>
      </c>
      <c r="D248" s="0" t="s">
        <v>186</v>
      </c>
      <c r="E248" s="0" t="s">
        <v>187</v>
      </c>
    </row>
    <row r="249" customFormat="false" ht="13.8" hidden="false" customHeight="false" outlineLevel="0" collapsed="false">
      <c r="A249" s="0" t="s">
        <v>188</v>
      </c>
      <c r="B249" s="0" t="n">
        <v>58.3392857142858</v>
      </c>
      <c r="C249" s="0" t="n">
        <v>9.71117643508617</v>
      </c>
      <c r="D249" s="0" t="n">
        <v>106.967394993485</v>
      </c>
      <c r="E249" s="0" t="n">
        <v>0.00378168994921813</v>
      </c>
    </row>
    <row r="250" customFormat="false" ht="13.8" hidden="false" customHeight="false" outlineLevel="0" collapsed="false">
      <c r="A250" s="0" t="s">
        <v>189</v>
      </c>
      <c r="B250" s="0" t="n">
        <v>60.425</v>
      </c>
      <c r="C250" s="0" t="n">
        <v>6.86045151273408</v>
      </c>
      <c r="D250" s="0" t="n">
        <v>113.989548487266</v>
      </c>
      <c r="E250" s="0" t="n">
        <v>0.0101942598371451</v>
      </c>
    </row>
    <row r="251" customFormat="false" ht="13.8" hidden="false" customHeight="false" outlineLevel="0" collapsed="false">
      <c r="A251" s="0" t="s">
        <v>190</v>
      </c>
      <c r="B251" s="0" t="n">
        <v>42.929347826087</v>
      </c>
      <c r="C251" s="0" t="n">
        <v>4.3630719664882</v>
      </c>
      <c r="D251" s="0" t="n">
        <v>81.4956236856858</v>
      </c>
      <c r="E251" s="0" t="n">
        <v>0.0124296091591271</v>
      </c>
    </row>
    <row r="252" customFormat="false" ht="13.8" hidden="false" customHeight="false" outlineLevel="0" collapsed="false">
      <c r="A252" s="0" t="s">
        <v>191</v>
      </c>
      <c r="B252" s="0" t="n">
        <v>-46.3173076923077</v>
      </c>
      <c r="C252" s="0" t="n">
        <v>-88.5383300884515</v>
      </c>
      <c r="D252" s="0" t="n">
        <v>-4.09628529616389</v>
      </c>
      <c r="E252" s="0" t="n">
        <v>0.0153366815651462</v>
      </c>
    </row>
    <row r="253" customFormat="false" ht="13.8" hidden="false" customHeight="false" outlineLevel="0" collapsed="false">
      <c r="A253" s="0" t="s">
        <v>192</v>
      </c>
      <c r="B253" s="0" t="n">
        <v>58.625</v>
      </c>
      <c r="C253" s="0" t="n">
        <v>5.0604515127341</v>
      </c>
      <c r="D253" s="0" t="n">
        <v>112.189548487266</v>
      </c>
      <c r="E253" s="0" t="n">
        <v>0.0158491651092892</v>
      </c>
    </row>
    <row r="254" customFormat="false" ht="13.8" hidden="false" customHeight="false" outlineLevel="0" collapsed="false">
      <c r="A254" s="0" t="s">
        <v>193</v>
      </c>
      <c r="B254" s="0" t="n">
        <v>50.5</v>
      </c>
      <c r="C254" s="0" t="n">
        <v>3.5207831986832</v>
      </c>
      <c r="D254" s="0" t="n">
        <v>97.4792168013168</v>
      </c>
      <c r="E254" s="0" t="n">
        <v>0.0203292720198267</v>
      </c>
    </row>
    <row r="255" customFormat="false" ht="13.8" hidden="false" customHeight="false" outlineLevel="0" collapsed="false">
      <c r="A255" s="0" t="s">
        <v>194</v>
      </c>
      <c r="B255" s="0" t="n">
        <v>41.7202380952381</v>
      </c>
      <c r="C255" s="0" t="n">
        <v>2.68290629034953</v>
      </c>
      <c r="D255" s="0" t="n">
        <v>80.7575699001267</v>
      </c>
      <c r="E255" s="0" t="n">
        <v>0.021979332996784</v>
      </c>
    </row>
    <row r="256" customFormat="false" ht="13.8" hidden="false" customHeight="false" outlineLevel="0" collapsed="false">
      <c r="A256" s="0" t="s">
        <v>195</v>
      </c>
      <c r="B256" s="0" t="n">
        <v>-66.625</v>
      </c>
      <c r="C256" s="0" t="n">
        <v>-130.235160252269</v>
      </c>
      <c r="D256" s="0" t="n">
        <v>-3.01483974773062</v>
      </c>
      <c r="E256" s="0" t="n">
        <v>0.0285983751976392</v>
      </c>
    </row>
    <row r="257" customFormat="false" ht="13.8" hidden="false" customHeight="false" outlineLevel="0" collapsed="false">
      <c r="A257" s="0" t="s">
        <v>196</v>
      </c>
      <c r="B257" s="0" t="n">
        <v>-49.125</v>
      </c>
      <c r="C257" s="0" t="n">
        <v>-99.86835371727</v>
      </c>
      <c r="D257" s="0" t="n">
        <v>1.61835371726997</v>
      </c>
      <c r="E257" s="0" t="n">
        <v>0.0712603129647413</v>
      </c>
    </row>
    <row r="258" customFormat="false" ht="13.8" hidden="false" customHeight="false" outlineLevel="0" collapsed="false">
      <c r="A258" s="0" t="s">
        <v>197</v>
      </c>
      <c r="B258" s="0" t="n">
        <v>-45.9107142857143</v>
      </c>
      <c r="C258" s="0" t="n">
        <v>-94.5388235649139</v>
      </c>
      <c r="D258" s="0" t="n">
        <v>2.71739499348529</v>
      </c>
      <c r="E258" s="0" t="n">
        <v>0.091895198235933</v>
      </c>
    </row>
    <row r="260" customFormat="false" ht="13.8" hidden="false" customHeight="false" outlineLevel="0" collapsed="false">
      <c r="A260" s="0" t="s">
        <v>50</v>
      </c>
    </row>
    <row r="261" customFormat="false" ht="13.8" hidden="false" customHeight="false" outlineLevel="0" collapsed="false">
      <c r="A261" s="0" t="s">
        <v>170</v>
      </c>
    </row>
    <row r="262" customFormat="false" ht="13.8" hidden="false" customHeight="false" outlineLevel="0" collapsed="false">
      <c r="A262" s="0" t="s">
        <v>171</v>
      </c>
      <c r="B262" s="0" t="s">
        <v>172</v>
      </c>
      <c r="C262" s="0" t="s">
        <v>173</v>
      </c>
      <c r="D262" s="0" t="s">
        <v>174</v>
      </c>
      <c r="E262" s="0" t="s">
        <v>175</v>
      </c>
    </row>
    <row r="263" customFormat="false" ht="13.8" hidden="false" customHeight="false" outlineLevel="0" collapsed="false">
      <c r="A263" s="0" t="n">
        <v>6</v>
      </c>
      <c r="B263" s="0" t="n">
        <v>16.7881890854717</v>
      </c>
      <c r="C263" s="0" t="n">
        <v>2.79803151424528</v>
      </c>
      <c r="D263" s="0" t="n">
        <v>2.01109872647198</v>
      </c>
      <c r="E263" s="0" t="n">
        <v>0.0681276403566055</v>
      </c>
      <c r="F263" s="0" t="s">
        <v>176</v>
      </c>
    </row>
    <row r="264" customFormat="false" ht="13.8" hidden="false" customHeight="false" outlineLevel="0" collapsed="false">
      <c r="A264" s="0" t="n">
        <v>3</v>
      </c>
      <c r="B264" s="0" t="n">
        <v>3.04252934461888</v>
      </c>
      <c r="C264" s="0" t="n">
        <v>1.01417644820629</v>
      </c>
      <c r="D264" s="0" t="n">
        <v>0.728944242772654</v>
      </c>
      <c r="E264" s="0" t="n">
        <v>0.536377830780549</v>
      </c>
      <c r="F264" s="0" t="s">
        <v>177</v>
      </c>
    </row>
    <row r="265" customFormat="false" ht="13.8" hidden="false" customHeight="false" outlineLevel="0" collapsed="false">
      <c r="A265" s="0" t="n">
        <v>12</v>
      </c>
      <c r="B265" s="0" t="n">
        <v>10.2948106302211</v>
      </c>
      <c r="C265" s="0" t="n">
        <v>0.857900885851757</v>
      </c>
      <c r="D265" s="0" t="n">
        <v>0.616620424105919</v>
      </c>
      <c r="E265" s="0" t="n">
        <v>0.825395633120277</v>
      </c>
      <c r="F265" s="0" t="s">
        <v>178</v>
      </c>
    </row>
    <row r="266" customFormat="false" ht="13.8" hidden="false" customHeight="false" outlineLevel="0" collapsed="false">
      <c r="A266" s="0" t="n">
        <v>139</v>
      </c>
      <c r="B266" s="0" t="n">
        <v>193.389998889999</v>
      </c>
      <c r="C266" s="0" t="n">
        <v>1.39129495604316</v>
      </c>
      <c r="D266" s="0" t="s">
        <v>179</v>
      </c>
      <c r="E266" s="0" t="s">
        <v>179</v>
      </c>
      <c r="F266" s="0" t="s">
        <v>180</v>
      </c>
    </row>
    <row r="269" customFormat="false" ht="14.9" hidden="false" customHeight="false" outlineLevel="0" collapsed="false">
      <c r="A269" s="0" t="s">
        <v>198</v>
      </c>
    </row>
    <row r="272" customFormat="false" ht="13.8" hidden="false" customHeight="false" outlineLevel="0" collapsed="false">
      <c r="A272" s="1" t="s">
        <v>199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Format="false" ht="13.8" hidden="false" customHeight="false" outlineLevel="0" collapsed="false">
      <c r="A273" s="4" t="s">
        <v>6</v>
      </c>
      <c r="B273" s="3" t="s">
        <v>2</v>
      </c>
      <c r="C273" s="3" t="s">
        <v>7</v>
      </c>
      <c r="D273" s="5"/>
      <c r="E273" s="5"/>
      <c r="F273" s="6"/>
      <c r="G273" s="3" t="s">
        <v>8</v>
      </c>
      <c r="H273" s="5"/>
      <c r="I273" s="5"/>
      <c r="J273" s="5"/>
      <c r="K273" s="5"/>
      <c r="L273" s="6"/>
    </row>
    <row r="274" customFormat="false" ht="28.1" hidden="false" customHeight="false" outlineLevel="0" collapsed="false">
      <c r="A274" s="16"/>
      <c r="B274" s="17"/>
      <c r="C274" s="11" t="s">
        <v>12</v>
      </c>
      <c r="D274" s="12" t="s">
        <v>13</v>
      </c>
      <c r="E274" s="12" t="s">
        <v>14</v>
      </c>
      <c r="F274" s="13" t="s">
        <v>15</v>
      </c>
      <c r="G274" s="17" t="s">
        <v>12</v>
      </c>
      <c r="H274" s="179" t="s">
        <v>55</v>
      </c>
      <c r="I274" s="18" t="s">
        <v>13</v>
      </c>
      <c r="J274" s="179" t="s">
        <v>55</v>
      </c>
      <c r="K274" s="18" t="s">
        <v>14</v>
      </c>
      <c r="L274" s="180" t="s">
        <v>55</v>
      </c>
    </row>
    <row r="275" customFormat="false" ht="13.8" hidden="false" customHeight="false" outlineLevel="0" collapsed="false">
      <c r="A275" s="181" t="s">
        <v>200</v>
      </c>
      <c r="B275" s="53" t="s">
        <v>31</v>
      </c>
      <c r="C275" s="170" t="n">
        <v>21</v>
      </c>
      <c r="D275" s="48" t="n">
        <v>12</v>
      </c>
      <c r="E275" s="48" t="n">
        <v>6</v>
      </c>
      <c r="F275" s="49" t="n">
        <f aca="false">C275+D275+E275</f>
        <v>39</v>
      </c>
      <c r="G275" s="89" t="n">
        <f aca="false">C275/F275*100</f>
        <v>53.8461538461539</v>
      </c>
      <c r="H275" s="90" t="n">
        <v>7.982637</v>
      </c>
      <c r="I275" s="90" t="n">
        <f aca="false">D275/F275*100</f>
        <v>30.7692307692308</v>
      </c>
      <c r="J275" s="90" t="n">
        <v>7.390581</v>
      </c>
      <c r="K275" s="90" t="n">
        <v>15.3846153846154</v>
      </c>
      <c r="L275" s="182" t="n">
        <v>1.970517</v>
      </c>
    </row>
    <row r="276" customFormat="false" ht="13.8" hidden="false" customHeight="false" outlineLevel="0" collapsed="false">
      <c r="A276" s="183" t="s">
        <v>68</v>
      </c>
      <c r="B276" s="184" t="s">
        <v>201</v>
      </c>
      <c r="C276" s="185" t="n">
        <v>15</v>
      </c>
      <c r="D276" s="186" t="n">
        <v>8</v>
      </c>
      <c r="E276" s="186" t="n">
        <v>5</v>
      </c>
      <c r="F276" s="187" t="n">
        <f aca="false">C276+D276+E276</f>
        <v>28</v>
      </c>
      <c r="G276" s="188" t="n">
        <f aca="false">C276/F276*100</f>
        <v>53.5714285714286</v>
      </c>
      <c r="H276" s="189" t="n">
        <v>9.424995</v>
      </c>
      <c r="I276" s="189" t="n">
        <f aca="false">D276/F276*100</f>
        <v>28.5714285714286</v>
      </c>
      <c r="J276" s="189" t="n">
        <v>8.537219</v>
      </c>
      <c r="K276" s="189" t="n">
        <v>17.8571428571429</v>
      </c>
      <c r="L276" s="190" t="n">
        <v>7.238341</v>
      </c>
    </row>
    <row r="277" customFormat="false" ht="13.8" hidden="false" customHeight="false" outlineLevel="0" collapsed="false">
      <c r="A277" s="183" t="s">
        <v>202</v>
      </c>
      <c r="B277" s="53" t="s">
        <v>203</v>
      </c>
      <c r="C277" s="170" t="n">
        <v>20</v>
      </c>
      <c r="D277" s="48" t="n">
        <v>15</v>
      </c>
      <c r="E277" s="48" t="n">
        <v>19</v>
      </c>
      <c r="F277" s="49" t="n">
        <f aca="false">C277+D277+E277</f>
        <v>54</v>
      </c>
      <c r="G277" s="188" t="n">
        <f aca="false">C277/F277*100</f>
        <v>37.037037037037</v>
      </c>
      <c r="H277" s="189" t="n">
        <v>6.571598</v>
      </c>
      <c r="I277" s="189" t="n">
        <f aca="false">D277/F277*100</f>
        <v>27.7777777777778</v>
      </c>
      <c r="J277" s="189" t="n">
        <v>6.095341</v>
      </c>
      <c r="K277" s="189" t="n">
        <v>35.1851851851852</v>
      </c>
      <c r="L277" s="190" t="n">
        <v>6.498809</v>
      </c>
    </row>
    <row r="278" customFormat="false" ht="13.8" hidden="false" customHeight="false" outlineLevel="0" collapsed="false">
      <c r="A278" s="181" t="s">
        <v>200</v>
      </c>
      <c r="B278" s="53" t="s">
        <v>204</v>
      </c>
      <c r="C278" s="191" t="n">
        <f aca="false">'Figure 2'!E14</f>
        <v>53</v>
      </c>
      <c r="D278" s="191" t="n">
        <f aca="false">'Figure 2'!E22</f>
        <v>32</v>
      </c>
      <c r="E278" s="191" t="n">
        <f aca="false">'Figure 2'!E30</f>
        <v>24</v>
      </c>
      <c r="F278" s="191" t="n">
        <f aca="false">SUM(C278:E278)</f>
        <v>109</v>
      </c>
      <c r="M278" s="0" t="s">
        <v>205</v>
      </c>
    </row>
    <row r="279" customFormat="false" ht="13.8" hidden="false" customHeight="false" outlineLevel="0" collapsed="false">
      <c r="A279" s="183" t="s">
        <v>68</v>
      </c>
      <c r="B279" s="184" t="s">
        <v>206</v>
      </c>
      <c r="C279" s="191" t="n">
        <f aca="false">'Figure 2'!E16</f>
        <v>46</v>
      </c>
      <c r="D279" s="191" t="n">
        <f aca="false">'Figure 2'!E24</f>
        <v>31</v>
      </c>
      <c r="E279" s="191" t="n">
        <f aca="false">'Figure 2'!E32</f>
        <v>16</v>
      </c>
      <c r="F279" s="191" t="n">
        <f aca="false">SUM(C279:E279)</f>
        <v>93</v>
      </c>
      <c r="M279" s="0" t="s">
        <v>205</v>
      </c>
    </row>
    <row r="280" customFormat="false" ht="13.8" hidden="false" customHeight="false" outlineLevel="0" collapsed="false">
      <c r="A280" s="183" t="s">
        <v>202</v>
      </c>
      <c r="B280" s="53" t="s">
        <v>207</v>
      </c>
      <c r="C280" s="191" t="n">
        <f aca="false">'Figure 2'!E17</f>
        <v>18</v>
      </c>
      <c r="D280" s="191" t="n">
        <f aca="false">'Figure 2'!E25</f>
        <v>14</v>
      </c>
      <c r="E280" s="191" t="n">
        <f aca="false">'Figure 2'!E33</f>
        <v>18</v>
      </c>
      <c r="F280" s="191" t="n">
        <f aca="false">SUM(C280:E280)</f>
        <v>50</v>
      </c>
      <c r="M280" s="0" t="s">
        <v>205</v>
      </c>
    </row>
    <row r="282" customFormat="false" ht="14.9" hidden="false" customHeight="false" outlineLevel="0" collapsed="false">
      <c r="A282" s="0" t="s">
        <v>208</v>
      </c>
    </row>
    <row r="284" customFormat="false" ht="13.8" hidden="false" customHeight="false" outlineLevel="0" collapsed="false">
      <c r="A284" s="0" t="s">
        <v>110</v>
      </c>
    </row>
    <row r="285" customFormat="false" ht="13.8" hidden="false" customHeight="false" outlineLevel="0" collapsed="false">
      <c r="A285" s="0" t="s">
        <v>117</v>
      </c>
      <c r="B285" s="0" t="s">
        <v>209</v>
      </c>
      <c r="C285" s="0" t="s">
        <v>210</v>
      </c>
    </row>
    <row r="286" customFormat="false" ht="13.8" hidden="false" customHeight="false" outlineLevel="0" collapsed="false">
      <c r="A286" s="0" t="s">
        <v>211</v>
      </c>
      <c r="B286" s="0" t="n">
        <v>0.709325389448504</v>
      </c>
      <c r="C286" s="0" t="n">
        <v>1</v>
      </c>
    </row>
    <row r="287" customFormat="false" ht="13.8" hidden="false" customHeight="false" outlineLevel="0" collapsed="false">
      <c r="A287" s="0" t="s">
        <v>212</v>
      </c>
      <c r="B287" s="0" t="n">
        <v>1</v>
      </c>
      <c r="C287" s="0" t="n">
        <v>1</v>
      </c>
    </row>
    <row r="288" customFormat="false" ht="13.8" hidden="false" customHeight="false" outlineLevel="0" collapsed="false">
      <c r="A288" s="0" t="s">
        <v>213</v>
      </c>
      <c r="B288" s="0" t="n">
        <v>0.488440483393171</v>
      </c>
      <c r="C288" s="0" t="n">
        <v>1</v>
      </c>
    </row>
    <row r="289" customFormat="false" ht="13.8" hidden="false" customHeight="false" outlineLevel="0" collapsed="false">
      <c r="A289" s="0" t="s">
        <v>214</v>
      </c>
      <c r="B289" s="0" t="n">
        <v>0.829848747969289</v>
      </c>
      <c r="C289" s="0" t="n">
        <v>1</v>
      </c>
    </row>
    <row r="290" customFormat="false" ht="13.8" hidden="false" customHeight="false" outlineLevel="0" collapsed="false">
      <c r="A290" s="0" t="s">
        <v>215</v>
      </c>
      <c r="B290" s="0" t="n">
        <v>0.818002014360916</v>
      </c>
      <c r="C290" s="0" t="n">
        <v>1</v>
      </c>
    </row>
    <row r="291" customFormat="false" ht="13.8" hidden="false" customHeight="false" outlineLevel="0" collapsed="false">
      <c r="A291" s="0" t="s">
        <v>216</v>
      </c>
      <c r="B291" s="0" t="n">
        <v>1</v>
      </c>
      <c r="C291" s="0" t="n">
        <v>1</v>
      </c>
    </row>
    <row r="292" customFormat="false" ht="13.8" hidden="false" customHeight="false" outlineLevel="0" collapsed="false">
      <c r="A292" s="0" t="s">
        <v>217</v>
      </c>
      <c r="B292" s="0" t="n">
        <v>1</v>
      </c>
      <c r="C292" s="0" t="n">
        <v>1</v>
      </c>
    </row>
    <row r="293" customFormat="false" ht="13.8" hidden="false" customHeight="false" outlineLevel="0" collapsed="false">
      <c r="A293" s="0" t="s">
        <v>218</v>
      </c>
      <c r="B293" s="0" t="n">
        <v>1</v>
      </c>
      <c r="C293" s="0" t="n">
        <v>1</v>
      </c>
    </row>
    <row r="294" customFormat="false" ht="13.8" hidden="false" customHeight="false" outlineLevel="0" collapsed="false">
      <c r="A294" s="0" t="s">
        <v>219</v>
      </c>
      <c r="B294" s="0" t="n">
        <v>1</v>
      </c>
      <c r="C294" s="0" t="n">
        <v>1</v>
      </c>
    </row>
    <row r="296" customFormat="false" ht="13.8" hidden="false" customHeight="false" outlineLevel="0" collapsed="false">
      <c r="A296" s="106" t="s">
        <v>220</v>
      </c>
      <c r="B296" s="116"/>
      <c r="C296" s="116"/>
      <c r="D296" s="116"/>
      <c r="E296" s="116"/>
      <c r="F296" s="116"/>
      <c r="G296" s="116"/>
      <c r="H296" s="116"/>
      <c r="I296" s="116"/>
      <c r="J296" s="116"/>
    </row>
    <row r="297" customFormat="false" ht="13.8" hidden="false" customHeight="false" outlineLevel="0" collapsed="false">
      <c r="A297" s="4" t="s">
        <v>6</v>
      </c>
      <c r="B297" s="192" t="s">
        <v>181</v>
      </c>
      <c r="C297" s="192"/>
      <c r="D297" s="192"/>
      <c r="E297" s="193" t="s">
        <v>221</v>
      </c>
      <c r="F297" s="193"/>
      <c r="G297" s="193"/>
      <c r="H297" s="192" t="s">
        <v>222</v>
      </c>
      <c r="I297" s="192"/>
      <c r="J297" s="192"/>
    </row>
    <row r="298" customFormat="false" ht="13.8" hidden="false" customHeight="false" outlineLevel="0" collapsed="false">
      <c r="A298" s="16"/>
      <c r="B298" s="194" t="s">
        <v>9</v>
      </c>
      <c r="C298" s="195" t="s">
        <v>223</v>
      </c>
      <c r="D298" s="196" t="s">
        <v>224</v>
      </c>
      <c r="E298" s="195" t="s">
        <v>9</v>
      </c>
      <c r="F298" s="195" t="s">
        <v>223</v>
      </c>
      <c r="G298" s="195" t="s">
        <v>224</v>
      </c>
      <c r="H298" s="194" t="s">
        <v>9</v>
      </c>
      <c r="I298" s="195" t="s">
        <v>223</v>
      </c>
      <c r="J298" s="196" t="s">
        <v>224</v>
      </c>
    </row>
    <row r="299" customFormat="false" ht="13.8" hidden="false" customHeight="false" outlineLevel="0" collapsed="false">
      <c r="A299" s="169" t="s">
        <v>154</v>
      </c>
      <c r="B299" s="53" t="n">
        <v>63385</v>
      </c>
      <c r="C299" s="53" t="n">
        <v>7308</v>
      </c>
      <c r="D299" s="53" t="n">
        <v>10</v>
      </c>
      <c r="E299" s="53" t="n">
        <v>81182</v>
      </c>
      <c r="F299" s="53" t="n">
        <v>9414</v>
      </c>
      <c r="G299" s="53" t="n">
        <v>10</v>
      </c>
      <c r="H299" s="53" t="n">
        <v>74865</v>
      </c>
      <c r="I299" s="53" t="n">
        <v>11059</v>
      </c>
      <c r="J299" s="53" t="n">
        <v>10</v>
      </c>
    </row>
    <row r="300" customFormat="false" ht="13.8" hidden="false" customHeight="false" outlineLevel="0" collapsed="false">
      <c r="A300" s="197" t="s">
        <v>158</v>
      </c>
      <c r="B300" s="198" t="n">
        <v>17887382</v>
      </c>
      <c r="C300" s="198" t="n">
        <v>3206583</v>
      </c>
      <c r="D300" s="198" t="n">
        <v>10</v>
      </c>
      <c r="E300" s="198" t="n">
        <v>24793588</v>
      </c>
      <c r="F300" s="198" t="n">
        <v>7259692</v>
      </c>
      <c r="G300" s="198" t="n">
        <v>10</v>
      </c>
      <c r="H300" s="198" t="n">
        <v>6954517</v>
      </c>
      <c r="I300" s="198" t="n">
        <v>1964072</v>
      </c>
      <c r="J300" s="198" t="n">
        <v>10</v>
      </c>
    </row>
    <row r="303" customFormat="false" ht="13.8" hidden="false" customHeight="false" outlineLevel="0" collapsed="false">
      <c r="A303" s="106" t="s">
        <v>225</v>
      </c>
      <c r="B303" s="116"/>
      <c r="C303" s="116"/>
      <c r="D303" s="116"/>
      <c r="E303" s="116"/>
      <c r="F303" s="116"/>
      <c r="G303" s="116"/>
      <c r="H303" s="116"/>
      <c r="I303" s="116"/>
    </row>
    <row r="304" customFormat="false" ht="13.8" hidden="false" customHeight="true" outlineLevel="0" collapsed="false">
      <c r="A304" s="4" t="s">
        <v>6</v>
      </c>
      <c r="B304" s="199" t="s">
        <v>226</v>
      </c>
      <c r="C304" s="200" t="s">
        <v>227</v>
      </c>
      <c r="D304" s="201" t="s">
        <v>224</v>
      </c>
      <c r="E304" s="91" t="s">
        <v>228</v>
      </c>
    </row>
    <row r="305" customFormat="false" ht="13.8" hidden="false" customHeight="false" outlineLevel="0" collapsed="false">
      <c r="A305" s="16"/>
      <c r="B305" s="199"/>
      <c r="C305" s="200"/>
      <c r="D305" s="201"/>
      <c r="E305" s="91"/>
    </row>
    <row r="306" customFormat="false" ht="13.8" hidden="false" customHeight="false" outlineLevel="0" collapsed="false">
      <c r="A306" s="169" t="s">
        <v>158</v>
      </c>
      <c r="B306" s="53" t="n">
        <v>0.8317</v>
      </c>
      <c r="C306" s="53" t="n">
        <v>2.316</v>
      </c>
      <c r="D306" s="53" t="n">
        <v>19</v>
      </c>
      <c r="E306" s="53" t="n">
        <v>0.446</v>
      </c>
    </row>
    <row r="307" customFormat="false" ht="13.8" hidden="false" customHeight="false" outlineLevel="0" collapsed="false">
      <c r="A307" s="202"/>
    </row>
    <row r="308" customFormat="false" ht="13.8" hidden="false" customHeight="true" outlineLevel="0" collapsed="false">
      <c r="A308" s="4" t="s">
        <v>6</v>
      </c>
      <c r="B308" s="199" t="s">
        <v>229</v>
      </c>
      <c r="C308" s="199" t="s">
        <v>230</v>
      </c>
      <c r="D308" s="200" t="s">
        <v>223</v>
      </c>
      <c r="E308" s="201" t="s">
        <v>224</v>
      </c>
      <c r="F308" s="203" t="s">
        <v>231</v>
      </c>
      <c r="G308" s="204" t="s">
        <v>23</v>
      </c>
      <c r="H308" s="204" t="s">
        <v>232</v>
      </c>
      <c r="I308" s="205" t="s">
        <v>233</v>
      </c>
    </row>
    <row r="309" customFormat="false" ht="13.8" hidden="false" customHeight="false" outlineLevel="0" collapsed="false">
      <c r="A309" s="16"/>
      <c r="B309" s="199"/>
      <c r="C309" s="199"/>
      <c r="D309" s="200"/>
      <c r="E309" s="201"/>
      <c r="F309" s="203"/>
      <c r="G309" s="204"/>
      <c r="H309" s="204"/>
      <c r="I309" s="205"/>
      <c r="J309" s="73"/>
      <c r="K309" s="73"/>
    </row>
    <row r="310" customFormat="false" ht="13.8" hidden="false" customHeight="false" outlineLevel="0" collapsed="false">
      <c r="A310" s="206" t="s">
        <v>234</v>
      </c>
      <c r="B310" s="53" t="n">
        <v>1</v>
      </c>
      <c r="C310" s="207" t="n">
        <v>1.248</v>
      </c>
      <c r="D310" s="207" t="n">
        <v>0.1423</v>
      </c>
      <c r="E310" s="53" t="n">
        <v>8</v>
      </c>
      <c r="F310" s="208" t="s">
        <v>235</v>
      </c>
      <c r="G310" s="209" t="n">
        <v>3.313</v>
      </c>
      <c r="H310" s="208" t="s">
        <v>236</v>
      </c>
      <c r="I310" s="209" t="n">
        <v>0.6766</v>
      </c>
      <c r="J310" s="73"/>
      <c r="K310" s="73"/>
    </row>
    <row r="311" customFormat="false" ht="13.8" hidden="false" customHeight="false" outlineLevel="0" collapsed="false">
      <c r="A311" s="206"/>
      <c r="B311" s="198" t="n">
        <v>2</v>
      </c>
      <c r="C311" s="210" t="n">
        <v>1.059</v>
      </c>
      <c r="D311" s="210" t="n">
        <v>0.1535</v>
      </c>
      <c r="E311" s="198" t="n">
        <v>9</v>
      </c>
      <c r="F311" s="211" t="s">
        <v>237</v>
      </c>
      <c r="G311" s="212" t="n">
        <v>-7.188</v>
      </c>
      <c r="H311" s="211" t="s">
        <v>236</v>
      </c>
      <c r="I311" s="212" t="n">
        <v>0.3181</v>
      </c>
      <c r="J311" s="73"/>
      <c r="K311" s="73"/>
    </row>
    <row r="312" customFormat="false" ht="13.8" hidden="false" customHeight="false" outlineLevel="0" collapsed="false">
      <c r="A312" s="206"/>
      <c r="B312" s="198" t="n">
        <v>3</v>
      </c>
      <c r="C312" s="210" t="n">
        <v>2.76</v>
      </c>
      <c r="D312" s="198" t="n">
        <v>0.67</v>
      </c>
      <c r="E312" s="198" t="n">
        <v>2</v>
      </c>
      <c r="F312" s="211" t="s">
        <v>238</v>
      </c>
      <c r="G312" s="212" t="n">
        <v>-10.5</v>
      </c>
      <c r="H312" s="211" t="s">
        <v>236</v>
      </c>
      <c r="I312" s="212" t="n">
        <v>0.0508</v>
      </c>
      <c r="J312" s="73"/>
      <c r="K312" s="73"/>
    </row>
    <row r="314" customFormat="false" ht="13.8" hidden="false" customHeight="false" outlineLevel="0" collapsed="false">
      <c r="A314" s="213" t="s">
        <v>6</v>
      </c>
      <c r="B314" s="120" t="s">
        <v>229</v>
      </c>
      <c r="C314" s="120"/>
      <c r="D314" s="120"/>
      <c r="E314" s="120"/>
      <c r="F314" s="120"/>
      <c r="G314" s="120"/>
      <c r="H314" s="120"/>
      <c r="I314" s="120"/>
      <c r="J314" s="120"/>
    </row>
    <row r="315" customFormat="false" ht="13.8" hidden="false" customHeight="false" outlineLevel="0" collapsed="false">
      <c r="A315" s="213"/>
      <c r="B315" s="214" t="s">
        <v>239</v>
      </c>
      <c r="C315" s="214"/>
      <c r="D315" s="214"/>
      <c r="E315" s="214" t="s">
        <v>240</v>
      </c>
      <c r="F315" s="214"/>
      <c r="G315" s="214"/>
      <c r="H315" s="214" t="s">
        <v>241</v>
      </c>
      <c r="I315" s="214"/>
      <c r="J315" s="214"/>
    </row>
    <row r="316" customFormat="false" ht="13.8" hidden="false" customHeight="false" outlineLevel="0" collapsed="false">
      <c r="A316" s="213"/>
      <c r="B316" s="17" t="s">
        <v>242</v>
      </c>
      <c r="C316" s="18" t="s">
        <v>141</v>
      </c>
      <c r="D316" s="19" t="s">
        <v>142</v>
      </c>
      <c r="E316" s="17" t="s">
        <v>242</v>
      </c>
      <c r="F316" s="18" t="s">
        <v>141</v>
      </c>
      <c r="G316" s="19" t="s">
        <v>142</v>
      </c>
      <c r="H316" s="17" t="s">
        <v>242</v>
      </c>
      <c r="I316" s="18" t="s">
        <v>141</v>
      </c>
      <c r="J316" s="19" t="s">
        <v>142</v>
      </c>
    </row>
    <row r="317" customFormat="false" ht="13.8" hidden="false" customHeight="false" outlineLevel="0" collapsed="false">
      <c r="A317" s="215" t="s">
        <v>243</v>
      </c>
      <c r="B317" s="216" t="n">
        <v>0.421052631578947</v>
      </c>
      <c r="C317" s="216" t="n">
        <v>0.637240964657449</v>
      </c>
      <c r="D317" s="216" t="n">
        <v>0.231418912824543</v>
      </c>
      <c r="E317" s="216" t="n">
        <v>0.473684210526316</v>
      </c>
      <c r="F317" s="216" t="n">
        <v>0.682921907548868</v>
      </c>
      <c r="G317" s="216" t="n">
        <v>0.273298051611796</v>
      </c>
      <c r="H317" s="216" t="n">
        <v>0.105263157894737</v>
      </c>
      <c r="I317" s="216" t="n">
        <v>0.31394082711109</v>
      </c>
      <c r="J317" s="216" t="n">
        <v>0.0187032374051927</v>
      </c>
    </row>
    <row r="320" customFormat="false" ht="13.8" hidden="false" customHeight="false" outlineLevel="0" collapsed="false">
      <c r="A320" s="106" t="s">
        <v>244</v>
      </c>
      <c r="B320" s="116"/>
      <c r="C320" s="116"/>
      <c r="D320" s="116"/>
      <c r="E320" s="116"/>
      <c r="F320" s="116"/>
      <c r="G320" s="116"/>
      <c r="H320" s="116"/>
    </row>
    <row r="321" customFormat="false" ht="14.9" hidden="false" customHeight="false" outlineLevel="0" collapsed="false">
      <c r="A321" s="217" t="s">
        <v>6</v>
      </c>
      <c r="B321" s="218" t="s">
        <v>245</v>
      </c>
      <c r="C321" s="214" t="s">
        <v>246</v>
      </c>
      <c r="D321" s="214"/>
      <c r="E321" s="214"/>
      <c r="F321" s="219" t="s">
        <v>247</v>
      </c>
      <c r="G321" s="219"/>
      <c r="H321" s="219"/>
      <c r="J321" s="0" t="s">
        <v>248</v>
      </c>
    </row>
    <row r="322" customFormat="false" ht="13.8" hidden="false" customHeight="false" outlineLevel="0" collapsed="false">
      <c r="A322" s="217"/>
      <c r="B322" s="218"/>
      <c r="C322" s="220" t="s">
        <v>242</v>
      </c>
      <c r="D322" s="18" t="s">
        <v>141</v>
      </c>
      <c r="E322" s="19" t="s">
        <v>142</v>
      </c>
      <c r="F322" s="18" t="s">
        <v>242</v>
      </c>
      <c r="G322" s="18" t="s">
        <v>141</v>
      </c>
      <c r="H322" s="19" t="s">
        <v>142</v>
      </c>
      <c r="J322" s="95" t="s">
        <v>73</v>
      </c>
    </row>
    <row r="323" customFormat="false" ht="13.8" hidden="false" customHeight="false" outlineLevel="0" collapsed="false">
      <c r="A323" s="221" t="s">
        <v>234</v>
      </c>
      <c r="B323" s="222" t="s">
        <v>249</v>
      </c>
      <c r="C323" s="223" t="n">
        <v>6.04651162790698</v>
      </c>
      <c r="D323" s="223" t="n">
        <v>10.0687967238994</v>
      </c>
      <c r="E323" s="223" t="n">
        <v>3.56731180028317</v>
      </c>
      <c r="F323" s="223" t="n">
        <v>93.953488372093</v>
      </c>
      <c r="G323" s="223" t="n">
        <v>96.4326881997168</v>
      </c>
      <c r="H323" s="224" t="n">
        <v>89.9312032761006</v>
      </c>
      <c r="J323" s="225"/>
    </row>
    <row r="324" customFormat="false" ht="13.8" hidden="false" customHeight="false" outlineLevel="0" collapsed="false">
      <c r="A324" s="221"/>
      <c r="B324" s="226" t="s">
        <v>250</v>
      </c>
      <c r="C324" s="227" t="n">
        <v>46.1538461538462</v>
      </c>
      <c r="D324" s="227" t="n">
        <v>61.4305517294842</v>
      </c>
      <c r="E324" s="227" t="n">
        <v>31.5668856067279</v>
      </c>
      <c r="F324" s="227" t="n">
        <v>53.8461538461539</v>
      </c>
      <c r="G324" s="227" t="n">
        <v>68.4331143932721</v>
      </c>
      <c r="H324" s="228" t="n">
        <v>38.5694482705158</v>
      </c>
      <c r="J324" s="184" t="s">
        <v>251</v>
      </c>
    </row>
    <row r="325" customFormat="false" ht="13.8" hidden="false" customHeight="false" outlineLevel="0" collapsed="false">
      <c r="A325" s="221"/>
      <c r="B325" s="229" t="s">
        <v>252</v>
      </c>
      <c r="C325" s="230" t="n">
        <v>27.0731707317073</v>
      </c>
      <c r="D325" s="230" t="n">
        <v>31.572265235317</v>
      </c>
      <c r="E325" s="230" t="n">
        <v>22.9997100965564</v>
      </c>
      <c r="F325" s="230" t="n">
        <v>72.9268292682927</v>
      </c>
      <c r="G325" s="230" t="n">
        <v>77.0002899034436</v>
      </c>
      <c r="H325" s="231" t="n">
        <v>68.427734764683</v>
      </c>
    </row>
    <row r="326" customFormat="false" ht="13.8" hidden="false" customHeight="false" outlineLevel="0" collapsed="false">
      <c r="A326" s="221" t="s">
        <v>243</v>
      </c>
      <c r="B326" s="222" t="s">
        <v>249</v>
      </c>
      <c r="C326" s="223" t="n">
        <v>15.3846153846154</v>
      </c>
      <c r="D326" s="223" t="n">
        <v>42.2346310194825</v>
      </c>
      <c r="E326" s="223" t="n">
        <v>2.7335500822974</v>
      </c>
      <c r="F326" s="223" t="n">
        <v>84.6153846153846</v>
      </c>
      <c r="G326" s="223" t="n">
        <v>97.2664499177026</v>
      </c>
      <c r="H326" s="224" t="n">
        <v>57.7653689805175</v>
      </c>
    </row>
    <row r="327" customFormat="false" ht="13.8" hidden="false" customHeight="false" outlineLevel="0" collapsed="false">
      <c r="A327" s="221"/>
      <c r="B327" s="226" t="s">
        <v>250</v>
      </c>
      <c r="C327" s="227" t="n">
        <v>77.7777777777778</v>
      </c>
      <c r="D327" s="227" t="n">
        <v>90.9990718913983</v>
      </c>
      <c r="E327" s="227" t="n">
        <v>54.7854156837874</v>
      </c>
      <c r="F327" s="227" t="n">
        <v>22.2222222222222</v>
      </c>
      <c r="G327" s="227" t="n">
        <v>45.2145843162126</v>
      </c>
      <c r="H327" s="228" t="n">
        <v>9.00092810860171</v>
      </c>
    </row>
    <row r="328" customFormat="false" ht="13.8" hidden="false" customHeight="false" outlineLevel="0" collapsed="false">
      <c r="A328" s="221"/>
      <c r="B328" s="229" t="s">
        <v>252</v>
      </c>
      <c r="C328" s="230" t="n">
        <v>90.9090909090909</v>
      </c>
      <c r="D328" s="230" t="n">
        <v>96.4077806772684</v>
      </c>
      <c r="E328" s="230" t="n">
        <v>78.8407608334014</v>
      </c>
      <c r="F328" s="230" t="n">
        <v>9.09090909090909</v>
      </c>
      <c r="G328" s="230" t="n">
        <v>21.1592391665986</v>
      </c>
      <c r="H328" s="231" t="n">
        <v>3.59221932273163</v>
      </c>
    </row>
    <row r="330" customFormat="false" ht="13.8" hidden="false" customHeight="false" outlineLevel="0" collapsed="false">
      <c r="A330" s="0" t="s">
        <v>253</v>
      </c>
    </row>
    <row r="331" customFormat="false" ht="13.8" hidden="false" customHeight="false" outlineLevel="0" collapsed="false">
      <c r="A331" s="0" t="s">
        <v>118</v>
      </c>
      <c r="B331" s="0" t="s">
        <v>209</v>
      </c>
      <c r="C331" s="0" t="s">
        <v>210</v>
      </c>
    </row>
    <row r="332" customFormat="false" ht="13.8" hidden="false" customHeight="false" outlineLevel="0" collapsed="false">
      <c r="A332" s="0" t="s">
        <v>254</v>
      </c>
      <c r="B332" s="0" t="n">
        <v>2.43901170109E-009</v>
      </c>
      <c r="C332" s="0" t="n">
        <v>1.463407020652E-008</v>
      </c>
    </row>
    <row r="333" customFormat="false" ht="13.8" hidden="false" customHeight="false" outlineLevel="0" collapsed="false">
      <c r="A333" s="0" t="s">
        <v>255</v>
      </c>
      <c r="B333" s="0" t="n">
        <v>2.392126945E-011</v>
      </c>
      <c r="C333" s="0" t="n">
        <v>1.4352761671E-010</v>
      </c>
    </row>
    <row r="334" customFormat="false" ht="13.8" hidden="false" customHeight="false" outlineLevel="0" collapsed="false">
      <c r="A334" s="0" t="s">
        <v>256</v>
      </c>
      <c r="B334" s="0" t="n">
        <v>0.0157876807903835</v>
      </c>
      <c r="C334" s="0" t="n">
        <v>0.0947260847423009</v>
      </c>
    </row>
    <row r="336" customFormat="false" ht="13.8" hidden="false" customHeight="false" outlineLevel="0" collapsed="false">
      <c r="A336" s="0" t="s">
        <v>257</v>
      </c>
    </row>
    <row r="337" customFormat="false" ht="13.8" hidden="false" customHeight="false" outlineLevel="0" collapsed="false">
      <c r="A337" s="0" t="s">
        <v>254</v>
      </c>
      <c r="B337" s="0" t="n">
        <v>0.000965052278614513</v>
      </c>
      <c r="C337" s="0" t="n">
        <v>0.00579031367168708</v>
      </c>
    </row>
    <row r="338" customFormat="false" ht="13.8" hidden="false" customHeight="false" outlineLevel="0" collapsed="false">
      <c r="A338" s="0" t="s">
        <v>258</v>
      </c>
      <c r="B338" s="0" t="n">
        <v>4.8788217626916E-007</v>
      </c>
      <c r="C338" s="0" t="n">
        <v>2.92729305761497E-006</v>
      </c>
    </row>
    <row r="339" customFormat="false" ht="13.8" hidden="false" customHeight="false" outlineLevel="0" collapsed="false">
      <c r="A339" s="0" t="s">
        <v>259</v>
      </c>
      <c r="B339" s="0" t="n">
        <v>0.214460131034128</v>
      </c>
      <c r="C339" s="0" t="n">
        <v>1</v>
      </c>
    </row>
    <row r="341" customFormat="false" ht="13.8" hidden="false" customHeight="false" outlineLevel="0" collapsed="false">
      <c r="A341" s="106" t="s">
        <v>260</v>
      </c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</row>
    <row r="342" customFormat="false" ht="13.8" hidden="false" customHeight="false" outlineLevel="0" collapsed="false">
      <c r="A342" s="232" t="s">
        <v>6</v>
      </c>
      <c r="B342" s="233" t="s">
        <v>181</v>
      </c>
      <c r="C342" s="233"/>
      <c r="D342" s="233"/>
      <c r="E342" s="233"/>
      <c r="G342" s="232" t="s">
        <v>6</v>
      </c>
      <c r="H342" s="233" t="s">
        <v>181</v>
      </c>
      <c r="I342" s="233"/>
      <c r="J342" s="233"/>
      <c r="K342" s="233"/>
    </row>
    <row r="343" customFormat="false" ht="13.8" hidden="false" customHeight="false" outlineLevel="0" collapsed="false">
      <c r="A343" s="234" t="s">
        <v>261</v>
      </c>
      <c r="B343" s="29" t="s">
        <v>262</v>
      </c>
      <c r="C343" s="235" t="s">
        <v>263</v>
      </c>
      <c r="D343" s="235" t="s">
        <v>242</v>
      </c>
      <c r="E343" s="114" t="s">
        <v>223</v>
      </c>
      <c r="G343" s="234" t="s">
        <v>264</v>
      </c>
      <c r="H343" s="29" t="s">
        <v>262</v>
      </c>
      <c r="I343" s="235" t="s">
        <v>263</v>
      </c>
      <c r="J343" s="235" t="s">
        <v>242</v>
      </c>
      <c r="K343" s="114" t="s">
        <v>223</v>
      </c>
    </row>
    <row r="344" customFormat="false" ht="13.8" hidden="false" customHeight="false" outlineLevel="0" collapsed="false">
      <c r="A344" s="234"/>
      <c r="B344" s="29" t="s">
        <v>265</v>
      </c>
      <c r="C344" s="235" t="n">
        <v>12</v>
      </c>
      <c r="D344" s="235"/>
      <c r="E344" s="114"/>
      <c r="G344" s="234"/>
      <c r="H344" s="29" t="s">
        <v>265</v>
      </c>
      <c r="I344" s="235" t="n">
        <v>7</v>
      </c>
      <c r="J344" s="235"/>
      <c r="K344" s="114"/>
    </row>
    <row r="345" customFormat="false" ht="13.8" hidden="false" customHeight="false" outlineLevel="0" collapsed="false">
      <c r="A345" s="234"/>
      <c r="B345" s="29" t="s">
        <v>266</v>
      </c>
      <c r="C345" s="235" t="n">
        <v>1</v>
      </c>
      <c r="D345" s="236" t="n">
        <v>0.083333333</v>
      </c>
      <c r="E345" s="237" t="n">
        <v>0.079785592</v>
      </c>
      <c r="G345" s="234"/>
      <c r="H345" s="29" t="s">
        <v>266</v>
      </c>
      <c r="I345" s="235" t="n">
        <v>1</v>
      </c>
      <c r="J345" s="236" t="n">
        <v>0.142857143</v>
      </c>
      <c r="K345" s="237" t="n">
        <v>0.132260014</v>
      </c>
    </row>
    <row r="346" customFormat="false" ht="13.8" hidden="false" customHeight="false" outlineLevel="0" collapsed="false">
      <c r="A346" s="234"/>
      <c r="B346" s="29" t="s">
        <v>267</v>
      </c>
      <c r="C346" s="235" t="n">
        <v>3</v>
      </c>
      <c r="D346" s="236" t="n">
        <v>0.25</v>
      </c>
      <c r="E346" s="237" t="n">
        <v>0.125</v>
      </c>
      <c r="G346" s="234"/>
      <c r="H346" s="29" t="s">
        <v>267</v>
      </c>
      <c r="I346" s="235" t="n">
        <v>0</v>
      </c>
      <c r="J346" s="236" t="n">
        <v>0</v>
      </c>
      <c r="K346" s="237" t="n">
        <v>0</v>
      </c>
    </row>
    <row r="347" customFormat="false" ht="13.8" hidden="false" customHeight="false" outlineLevel="0" collapsed="false">
      <c r="A347" s="234"/>
      <c r="B347" s="29"/>
      <c r="C347" s="235"/>
      <c r="D347" s="236"/>
      <c r="E347" s="237"/>
      <c r="G347" s="234"/>
      <c r="H347" s="29"/>
      <c r="I347" s="235"/>
      <c r="J347" s="236"/>
      <c r="K347" s="237"/>
    </row>
    <row r="348" customFormat="false" ht="13.8" hidden="false" customHeight="false" outlineLevel="0" collapsed="false">
      <c r="A348" s="234"/>
      <c r="B348" s="29"/>
      <c r="C348" s="235"/>
      <c r="D348" s="236"/>
      <c r="E348" s="237"/>
      <c r="G348" s="234"/>
      <c r="H348" s="29"/>
      <c r="I348" s="235"/>
      <c r="J348" s="236"/>
      <c r="K348" s="237"/>
    </row>
    <row r="349" customFormat="false" ht="13.8" hidden="false" customHeight="false" outlineLevel="0" collapsed="false">
      <c r="A349" s="234"/>
      <c r="B349" s="29" t="s">
        <v>268</v>
      </c>
      <c r="C349" s="235" t="s">
        <v>263</v>
      </c>
      <c r="D349" s="236" t="s">
        <v>242</v>
      </c>
      <c r="E349" s="237" t="s">
        <v>223</v>
      </c>
      <c r="G349" s="234"/>
      <c r="H349" s="29" t="s">
        <v>268</v>
      </c>
      <c r="I349" s="235" t="s">
        <v>263</v>
      </c>
      <c r="J349" s="236" t="s">
        <v>242</v>
      </c>
      <c r="K349" s="237" t="s">
        <v>223</v>
      </c>
    </row>
    <row r="350" customFormat="false" ht="13.8" hidden="false" customHeight="false" outlineLevel="0" collapsed="false">
      <c r="A350" s="234"/>
      <c r="B350" s="29" t="s">
        <v>265</v>
      </c>
      <c r="C350" s="235" t="n">
        <v>12</v>
      </c>
      <c r="D350" s="236"/>
      <c r="E350" s="237"/>
      <c r="G350" s="234"/>
      <c r="H350" s="29" t="s">
        <v>265</v>
      </c>
      <c r="I350" s="235" t="n">
        <v>9</v>
      </c>
      <c r="J350" s="236"/>
      <c r="K350" s="237"/>
    </row>
    <row r="351" customFormat="false" ht="13.8" hidden="false" customHeight="false" outlineLevel="0" collapsed="false">
      <c r="A351" s="234"/>
      <c r="B351" s="29" t="s">
        <v>266</v>
      </c>
      <c r="C351" s="235" t="n">
        <v>0</v>
      </c>
      <c r="D351" s="236" t="n">
        <v>0</v>
      </c>
      <c r="E351" s="237" t="n">
        <v>0</v>
      </c>
      <c r="G351" s="234"/>
      <c r="H351" s="29" t="s">
        <v>266</v>
      </c>
      <c r="I351" s="235" t="n">
        <v>1</v>
      </c>
      <c r="J351" s="236" t="n">
        <v>0.111111111</v>
      </c>
      <c r="K351" s="237" t="n">
        <v>0.10475656</v>
      </c>
    </row>
    <row r="352" customFormat="false" ht="13.8" hidden="false" customHeight="false" outlineLevel="0" collapsed="false">
      <c r="A352" s="234"/>
      <c r="B352" s="29" t="s">
        <v>267</v>
      </c>
      <c r="C352" s="235" t="n">
        <v>3</v>
      </c>
      <c r="D352" s="236" t="n">
        <v>0.25</v>
      </c>
      <c r="E352" s="237" t="n">
        <v>0.125</v>
      </c>
      <c r="G352" s="234"/>
      <c r="H352" s="29" t="s">
        <v>267</v>
      </c>
      <c r="I352" s="235" t="n">
        <v>0</v>
      </c>
      <c r="J352" s="236" t="n">
        <v>0</v>
      </c>
      <c r="K352" s="237" t="n">
        <v>0</v>
      </c>
    </row>
    <row r="353" customFormat="false" ht="13.8" hidden="false" customHeight="false" outlineLevel="0" collapsed="false">
      <c r="A353" s="234"/>
      <c r="B353" s="29"/>
      <c r="C353" s="235"/>
      <c r="D353" s="236"/>
      <c r="E353" s="237"/>
      <c r="G353" s="234"/>
      <c r="H353" s="29"/>
      <c r="I353" s="235"/>
      <c r="J353" s="236"/>
      <c r="K353" s="237"/>
    </row>
    <row r="354" customFormat="false" ht="13.8" hidden="false" customHeight="false" outlineLevel="0" collapsed="false">
      <c r="A354" s="234"/>
      <c r="B354" s="29"/>
      <c r="C354" s="235"/>
      <c r="D354" s="236"/>
      <c r="E354" s="237"/>
      <c r="G354" s="234"/>
      <c r="H354" s="29"/>
      <c r="I354" s="235"/>
      <c r="J354" s="236"/>
      <c r="K354" s="237"/>
    </row>
    <row r="355" customFormat="false" ht="13.8" hidden="false" customHeight="false" outlineLevel="0" collapsed="false">
      <c r="A355" s="234"/>
      <c r="B355" s="29" t="s">
        <v>269</v>
      </c>
      <c r="C355" s="235" t="s">
        <v>263</v>
      </c>
      <c r="D355" s="236" t="s">
        <v>242</v>
      </c>
      <c r="E355" s="237" t="s">
        <v>223</v>
      </c>
      <c r="G355" s="234"/>
      <c r="H355" s="29" t="s">
        <v>269</v>
      </c>
      <c r="I355" s="235" t="s">
        <v>263</v>
      </c>
      <c r="J355" s="236" t="s">
        <v>242</v>
      </c>
      <c r="K355" s="237" t="s">
        <v>223</v>
      </c>
    </row>
    <row r="356" customFormat="false" ht="13.8" hidden="false" customHeight="false" outlineLevel="0" collapsed="false">
      <c r="A356" s="234"/>
      <c r="B356" s="29" t="s">
        <v>265</v>
      </c>
      <c r="C356" s="235" t="n">
        <v>7</v>
      </c>
      <c r="D356" s="236"/>
      <c r="E356" s="237"/>
      <c r="G356" s="234"/>
      <c r="H356" s="29" t="s">
        <v>265</v>
      </c>
      <c r="I356" s="235" t="n">
        <v>8</v>
      </c>
      <c r="J356" s="236"/>
      <c r="K356" s="237"/>
    </row>
    <row r="357" customFormat="false" ht="13.8" hidden="false" customHeight="false" outlineLevel="0" collapsed="false">
      <c r="A357" s="234"/>
      <c r="B357" s="29" t="s">
        <v>266</v>
      </c>
      <c r="C357" s="235" t="n">
        <v>0</v>
      </c>
      <c r="D357" s="236" t="n">
        <v>0</v>
      </c>
      <c r="E357" s="237" t="n">
        <v>0</v>
      </c>
      <c r="G357" s="234"/>
      <c r="H357" s="29" t="s">
        <v>266</v>
      </c>
      <c r="I357" s="235" t="n">
        <v>1</v>
      </c>
      <c r="J357" s="236" t="n">
        <v>0.125</v>
      </c>
      <c r="K357" s="237" t="n">
        <v>0.116926793</v>
      </c>
    </row>
    <row r="358" customFormat="false" ht="13.8" hidden="false" customHeight="false" outlineLevel="0" collapsed="false">
      <c r="A358" s="234"/>
      <c r="B358" s="29" t="s">
        <v>267</v>
      </c>
      <c r="C358" s="235" t="n">
        <v>1</v>
      </c>
      <c r="D358" s="236" t="n">
        <v>0.142857143</v>
      </c>
      <c r="E358" s="237" t="n">
        <v>0.132260014</v>
      </c>
      <c r="G358" s="234"/>
      <c r="H358" s="238" t="s">
        <v>267</v>
      </c>
      <c r="I358" s="238" t="n">
        <v>2</v>
      </c>
      <c r="J358" s="239" t="n">
        <v>0.25</v>
      </c>
      <c r="K358" s="240" t="n">
        <v>0.153093109</v>
      </c>
    </row>
    <row r="359" customFormat="false" ht="13.8" hidden="false" customHeight="false" outlineLevel="0" collapsed="false">
      <c r="A359" s="234"/>
      <c r="B359" s="29"/>
      <c r="C359" s="235"/>
      <c r="D359" s="236"/>
      <c r="E359" s="237"/>
      <c r="G359" s="234"/>
      <c r="H359" s="241" t="s">
        <v>169</v>
      </c>
      <c r="I359" s="241"/>
      <c r="J359" s="241"/>
      <c r="K359" s="241"/>
    </row>
    <row r="360" customFormat="false" ht="13.8" hidden="false" customHeight="false" outlineLevel="0" collapsed="false">
      <c r="A360" s="234"/>
      <c r="B360" s="29"/>
      <c r="C360" s="235"/>
      <c r="D360" s="236"/>
      <c r="E360" s="237"/>
      <c r="G360" s="234"/>
      <c r="H360" s="29" t="s">
        <v>270</v>
      </c>
      <c r="I360" s="235" t="s">
        <v>263</v>
      </c>
      <c r="J360" s="235" t="s">
        <v>242</v>
      </c>
      <c r="K360" s="114" t="s">
        <v>223</v>
      </c>
    </row>
    <row r="361" customFormat="false" ht="13.8" hidden="false" customHeight="false" outlineLevel="0" collapsed="false">
      <c r="A361" s="234"/>
      <c r="B361" s="29" t="s">
        <v>271</v>
      </c>
      <c r="C361" s="235" t="s">
        <v>263</v>
      </c>
      <c r="D361" s="236" t="s">
        <v>242</v>
      </c>
      <c r="E361" s="237" t="s">
        <v>223</v>
      </c>
      <c r="G361" s="234"/>
      <c r="H361" s="29" t="s">
        <v>265</v>
      </c>
      <c r="I361" s="235" t="n">
        <v>11</v>
      </c>
      <c r="J361" s="235"/>
      <c r="K361" s="114"/>
    </row>
    <row r="362" customFormat="false" ht="13.8" hidden="false" customHeight="false" outlineLevel="0" collapsed="false">
      <c r="A362" s="234"/>
      <c r="B362" s="29" t="s">
        <v>265</v>
      </c>
      <c r="C362" s="235" t="n">
        <v>6</v>
      </c>
      <c r="D362" s="236"/>
      <c r="E362" s="237"/>
      <c r="G362" s="234"/>
      <c r="H362" s="29" t="s">
        <v>266</v>
      </c>
      <c r="I362" s="235" t="n">
        <v>1</v>
      </c>
      <c r="J362" s="236" t="n">
        <v>0.090909091</v>
      </c>
      <c r="K362" s="237" t="n">
        <v>0.086678417</v>
      </c>
    </row>
    <row r="363" customFormat="false" ht="13.8" hidden="false" customHeight="false" outlineLevel="0" collapsed="false">
      <c r="A363" s="234"/>
      <c r="B363" s="29" t="s">
        <v>266</v>
      </c>
      <c r="C363" s="235" t="n">
        <v>0</v>
      </c>
      <c r="D363" s="236" t="n">
        <v>0</v>
      </c>
      <c r="E363" s="237" t="n">
        <v>0</v>
      </c>
      <c r="G363" s="234"/>
      <c r="H363" s="29" t="s">
        <v>267</v>
      </c>
      <c r="I363" s="235" t="n">
        <v>2</v>
      </c>
      <c r="J363" s="236" t="n">
        <v>0.181818182</v>
      </c>
      <c r="K363" s="237" t="n">
        <v>0.1162913</v>
      </c>
    </row>
    <row r="364" customFormat="false" ht="13.8" hidden="false" customHeight="false" outlineLevel="0" collapsed="false">
      <c r="A364" s="234"/>
      <c r="B364" s="238" t="s">
        <v>267</v>
      </c>
      <c r="C364" s="238" t="n">
        <v>1</v>
      </c>
      <c r="D364" s="239" t="n">
        <v>0.166666667</v>
      </c>
      <c r="E364" s="240" t="n">
        <v>0.152145155</v>
      </c>
      <c r="G364" s="234"/>
      <c r="H364" s="29"/>
      <c r="I364" s="235"/>
      <c r="J364" s="236"/>
      <c r="K364" s="237"/>
    </row>
    <row r="365" customFormat="false" ht="13.8" hidden="false" customHeight="false" outlineLevel="0" collapsed="false">
      <c r="A365" s="234"/>
      <c r="B365" s="241" t="s">
        <v>169</v>
      </c>
      <c r="C365" s="241"/>
      <c r="D365" s="241"/>
      <c r="E365" s="241"/>
      <c r="G365" s="234"/>
      <c r="H365" s="29"/>
      <c r="I365" s="235"/>
      <c r="J365" s="236"/>
      <c r="K365" s="237"/>
    </row>
    <row r="366" customFormat="false" ht="13.8" hidden="false" customHeight="false" outlineLevel="0" collapsed="false">
      <c r="A366" s="234"/>
      <c r="B366" s="29" t="s">
        <v>270</v>
      </c>
      <c r="C366" s="235" t="s">
        <v>263</v>
      </c>
      <c r="D366" s="235" t="s">
        <v>242</v>
      </c>
      <c r="E366" s="114" t="s">
        <v>223</v>
      </c>
      <c r="G366" s="234"/>
      <c r="H366" s="29" t="s">
        <v>272</v>
      </c>
      <c r="I366" s="235" t="s">
        <v>263</v>
      </c>
      <c r="J366" s="236" t="s">
        <v>242</v>
      </c>
      <c r="K366" s="237" t="s">
        <v>223</v>
      </c>
    </row>
    <row r="367" customFormat="false" ht="13.8" hidden="false" customHeight="false" outlineLevel="0" collapsed="false">
      <c r="A367" s="234"/>
      <c r="B367" s="29" t="s">
        <v>265</v>
      </c>
      <c r="C367" s="235" t="n">
        <v>6</v>
      </c>
      <c r="D367" s="235"/>
      <c r="E367" s="114"/>
      <c r="G367" s="234"/>
      <c r="H367" s="29" t="s">
        <v>265</v>
      </c>
      <c r="I367" s="235" t="n">
        <v>10</v>
      </c>
      <c r="J367" s="236"/>
      <c r="K367" s="237"/>
    </row>
    <row r="368" customFormat="false" ht="13.8" hidden="false" customHeight="false" outlineLevel="0" collapsed="false">
      <c r="A368" s="234"/>
      <c r="B368" s="29" t="s">
        <v>266</v>
      </c>
      <c r="C368" s="235" t="n">
        <v>0</v>
      </c>
      <c r="D368" s="236" t="n">
        <v>0</v>
      </c>
      <c r="E368" s="237" t="n">
        <v>0</v>
      </c>
      <c r="G368" s="234"/>
      <c r="H368" s="29" t="s">
        <v>266</v>
      </c>
      <c r="I368" s="235" t="n">
        <v>1</v>
      </c>
      <c r="J368" s="236" t="n">
        <v>0.1</v>
      </c>
      <c r="K368" s="237" t="n">
        <v>0.09486833</v>
      </c>
    </row>
    <row r="369" customFormat="false" ht="13.8" hidden="false" customHeight="false" outlineLevel="0" collapsed="false">
      <c r="A369" s="234"/>
      <c r="B369" s="29" t="s">
        <v>267</v>
      </c>
      <c r="C369" s="235" t="n">
        <v>1</v>
      </c>
      <c r="D369" s="236" t="n">
        <v>0.166666667</v>
      </c>
      <c r="E369" s="237" t="n">
        <v>0.152145155</v>
      </c>
      <c r="G369" s="234"/>
      <c r="H369" s="29" t="s">
        <v>267</v>
      </c>
      <c r="I369" s="235" t="n">
        <v>4</v>
      </c>
      <c r="J369" s="236" t="n">
        <v>0.4</v>
      </c>
      <c r="K369" s="237" t="n">
        <v>0.154919334</v>
      </c>
    </row>
    <row r="370" customFormat="false" ht="13.8" hidden="false" customHeight="false" outlineLevel="0" collapsed="false">
      <c r="A370" s="234"/>
      <c r="B370" s="29"/>
      <c r="C370" s="235"/>
      <c r="D370" s="236"/>
      <c r="E370" s="237"/>
      <c r="G370" s="234"/>
      <c r="H370" s="29"/>
      <c r="I370" s="235"/>
      <c r="J370" s="236"/>
      <c r="K370" s="237"/>
    </row>
    <row r="371" customFormat="false" ht="13.8" hidden="false" customHeight="false" outlineLevel="0" collapsed="false">
      <c r="A371" s="234"/>
      <c r="B371" s="29"/>
      <c r="C371" s="235"/>
      <c r="D371" s="236"/>
      <c r="E371" s="237"/>
      <c r="G371" s="234"/>
      <c r="H371" s="29"/>
      <c r="I371" s="235"/>
      <c r="J371" s="236"/>
      <c r="K371" s="237"/>
    </row>
    <row r="372" customFormat="false" ht="13.8" hidden="false" customHeight="false" outlineLevel="0" collapsed="false">
      <c r="A372" s="234"/>
      <c r="B372" s="29" t="s">
        <v>272</v>
      </c>
      <c r="C372" s="235" t="s">
        <v>263</v>
      </c>
      <c r="D372" s="236" t="s">
        <v>242</v>
      </c>
      <c r="E372" s="237" t="s">
        <v>223</v>
      </c>
      <c r="G372" s="234"/>
      <c r="H372" s="29" t="s">
        <v>273</v>
      </c>
      <c r="I372" s="235" t="s">
        <v>263</v>
      </c>
      <c r="J372" s="236" t="s">
        <v>242</v>
      </c>
      <c r="K372" s="237" t="s">
        <v>223</v>
      </c>
    </row>
    <row r="373" customFormat="false" ht="13.8" hidden="false" customHeight="false" outlineLevel="0" collapsed="false">
      <c r="A373" s="234"/>
      <c r="B373" s="29" t="s">
        <v>265</v>
      </c>
      <c r="C373" s="235" t="n">
        <v>9</v>
      </c>
      <c r="D373" s="236"/>
      <c r="E373" s="237"/>
      <c r="G373" s="234"/>
      <c r="H373" s="29" t="s">
        <v>265</v>
      </c>
      <c r="I373" s="235" t="n">
        <v>10</v>
      </c>
      <c r="J373" s="236"/>
      <c r="K373" s="237"/>
    </row>
    <row r="374" customFormat="false" ht="13.8" hidden="false" customHeight="false" outlineLevel="0" collapsed="false">
      <c r="A374" s="234"/>
      <c r="B374" s="29" t="s">
        <v>266</v>
      </c>
      <c r="C374" s="235" t="n">
        <v>0</v>
      </c>
      <c r="D374" s="236" t="n">
        <v>0</v>
      </c>
      <c r="E374" s="237" t="n">
        <v>0</v>
      </c>
      <c r="G374" s="234"/>
      <c r="H374" s="29" t="s">
        <v>266</v>
      </c>
      <c r="I374" s="235" t="n">
        <v>1</v>
      </c>
      <c r="J374" s="236" t="n">
        <v>0.1</v>
      </c>
      <c r="K374" s="237" t="n">
        <v>0.09486833</v>
      </c>
    </row>
    <row r="375" customFormat="false" ht="13.8" hidden="false" customHeight="false" outlineLevel="0" collapsed="false">
      <c r="A375" s="234"/>
      <c r="B375" s="29" t="s">
        <v>267</v>
      </c>
      <c r="C375" s="235" t="n">
        <v>0</v>
      </c>
      <c r="D375" s="236" t="n">
        <v>0</v>
      </c>
      <c r="E375" s="237" t="n">
        <v>0</v>
      </c>
      <c r="G375" s="234"/>
      <c r="H375" s="238" t="s">
        <v>267</v>
      </c>
      <c r="I375" s="238" t="n">
        <v>1</v>
      </c>
      <c r="J375" s="239" t="n">
        <v>0.1</v>
      </c>
      <c r="K375" s="240" t="n">
        <v>0.09486833</v>
      </c>
    </row>
    <row r="376" customFormat="false" ht="13.8" hidden="false" customHeight="false" outlineLevel="0" collapsed="false">
      <c r="A376" s="234"/>
      <c r="B376" s="29"/>
      <c r="C376" s="235"/>
      <c r="D376" s="236"/>
      <c r="E376" s="237"/>
      <c r="G376" s="234"/>
      <c r="H376" s="241" t="s">
        <v>222</v>
      </c>
      <c r="I376" s="241"/>
      <c r="J376" s="241"/>
      <c r="K376" s="241"/>
    </row>
    <row r="377" customFormat="false" ht="13.8" hidden="false" customHeight="false" outlineLevel="0" collapsed="false">
      <c r="A377" s="234"/>
      <c r="B377" s="29"/>
      <c r="C377" s="235"/>
      <c r="D377" s="236"/>
      <c r="E377" s="237"/>
      <c r="G377" s="234"/>
      <c r="H377" s="29" t="s">
        <v>274</v>
      </c>
      <c r="I377" s="235" t="s">
        <v>263</v>
      </c>
      <c r="J377" s="235" t="s">
        <v>242</v>
      </c>
      <c r="K377" s="114" t="s">
        <v>223</v>
      </c>
    </row>
    <row r="378" customFormat="false" ht="13.8" hidden="false" customHeight="false" outlineLevel="0" collapsed="false">
      <c r="A378" s="234"/>
      <c r="B378" s="29" t="s">
        <v>273</v>
      </c>
      <c r="C378" s="235" t="s">
        <v>263</v>
      </c>
      <c r="D378" s="236" t="s">
        <v>242</v>
      </c>
      <c r="E378" s="237" t="s">
        <v>223</v>
      </c>
      <c r="G378" s="234"/>
      <c r="H378" s="29" t="s">
        <v>265</v>
      </c>
      <c r="I378" s="235" t="n">
        <v>8</v>
      </c>
      <c r="J378" s="235"/>
      <c r="K378" s="114"/>
    </row>
    <row r="379" customFormat="false" ht="13.8" hidden="false" customHeight="false" outlineLevel="0" collapsed="false">
      <c r="A379" s="234"/>
      <c r="B379" s="29" t="s">
        <v>265</v>
      </c>
      <c r="C379" s="235" t="n">
        <v>7</v>
      </c>
      <c r="D379" s="236"/>
      <c r="E379" s="237"/>
      <c r="G379" s="234"/>
      <c r="H379" s="29" t="s">
        <v>266</v>
      </c>
      <c r="I379" s="235" t="n">
        <v>2</v>
      </c>
      <c r="J379" s="236" t="n">
        <v>0.25</v>
      </c>
      <c r="K379" s="237" t="n">
        <v>0.153093109</v>
      </c>
    </row>
    <row r="380" customFormat="false" ht="13.8" hidden="false" customHeight="false" outlineLevel="0" collapsed="false">
      <c r="A380" s="234"/>
      <c r="B380" s="29" t="s">
        <v>266</v>
      </c>
      <c r="C380" s="235" t="n">
        <v>0</v>
      </c>
      <c r="D380" s="236" t="n">
        <v>0</v>
      </c>
      <c r="E380" s="237" t="n">
        <v>0</v>
      </c>
      <c r="G380" s="234"/>
      <c r="H380" s="29" t="s">
        <v>267</v>
      </c>
      <c r="I380" s="235" t="n">
        <v>3</v>
      </c>
      <c r="J380" s="236" t="n">
        <v>0.375</v>
      </c>
      <c r="K380" s="237" t="n">
        <v>0.171163299</v>
      </c>
    </row>
    <row r="381" customFormat="false" ht="13.8" hidden="false" customHeight="false" outlineLevel="0" collapsed="false">
      <c r="A381" s="234"/>
      <c r="B381" s="29" t="s">
        <v>267</v>
      </c>
      <c r="C381" s="235" t="n">
        <v>3</v>
      </c>
      <c r="D381" s="236" t="n">
        <v>0.428571429</v>
      </c>
      <c r="E381" s="237" t="n">
        <v>0.187043906</v>
      </c>
      <c r="G381" s="234"/>
      <c r="H381" s="29"/>
      <c r="I381" s="235"/>
      <c r="J381" s="236"/>
      <c r="K381" s="237"/>
    </row>
    <row r="382" customFormat="false" ht="13.8" hidden="false" customHeight="false" outlineLevel="0" collapsed="false">
      <c r="A382" s="234"/>
      <c r="B382" s="29"/>
      <c r="C382" s="235"/>
      <c r="D382" s="236"/>
      <c r="E382" s="237"/>
      <c r="G382" s="234"/>
      <c r="H382" s="29"/>
      <c r="I382" s="235"/>
      <c r="J382" s="236"/>
      <c r="K382" s="237"/>
    </row>
    <row r="383" customFormat="false" ht="13.8" hidden="false" customHeight="false" outlineLevel="0" collapsed="false">
      <c r="A383" s="234"/>
      <c r="B383" s="29"/>
      <c r="C383" s="235"/>
      <c r="D383" s="236"/>
      <c r="E383" s="237"/>
      <c r="G383" s="234"/>
      <c r="H383" s="29" t="s">
        <v>275</v>
      </c>
      <c r="I383" s="235" t="s">
        <v>263</v>
      </c>
      <c r="J383" s="236" t="s">
        <v>242</v>
      </c>
      <c r="K383" s="237" t="s">
        <v>223</v>
      </c>
    </row>
    <row r="384" customFormat="false" ht="13.8" hidden="false" customHeight="false" outlineLevel="0" collapsed="false">
      <c r="A384" s="234"/>
      <c r="B384" s="29" t="s">
        <v>276</v>
      </c>
      <c r="C384" s="235" t="s">
        <v>263</v>
      </c>
      <c r="D384" s="236" t="s">
        <v>242</v>
      </c>
      <c r="E384" s="237" t="s">
        <v>223</v>
      </c>
      <c r="G384" s="234"/>
      <c r="H384" s="29" t="s">
        <v>265</v>
      </c>
      <c r="I384" s="235" t="n">
        <v>8</v>
      </c>
      <c r="J384" s="236"/>
      <c r="K384" s="237"/>
    </row>
    <row r="385" customFormat="false" ht="13.8" hidden="false" customHeight="false" outlineLevel="0" collapsed="false">
      <c r="A385" s="234"/>
      <c r="B385" s="29" t="s">
        <v>265</v>
      </c>
      <c r="C385" s="235" t="n">
        <v>6</v>
      </c>
      <c r="D385" s="236"/>
      <c r="E385" s="237"/>
      <c r="G385" s="234"/>
      <c r="H385" s="29" t="s">
        <v>266</v>
      </c>
      <c r="I385" s="235" t="n">
        <v>0</v>
      </c>
      <c r="J385" s="236" t="n">
        <v>0</v>
      </c>
      <c r="K385" s="237" t="n">
        <v>0</v>
      </c>
    </row>
    <row r="386" customFormat="false" ht="13.8" hidden="false" customHeight="false" outlineLevel="0" collapsed="false">
      <c r="A386" s="234"/>
      <c r="B386" s="29" t="s">
        <v>266</v>
      </c>
      <c r="C386" s="235" t="n">
        <v>1</v>
      </c>
      <c r="D386" s="236" t="n">
        <v>0.166666667</v>
      </c>
      <c r="E386" s="237" t="n">
        <v>0.152145155</v>
      </c>
      <c r="G386" s="234"/>
      <c r="H386" s="29" t="s">
        <v>267</v>
      </c>
      <c r="I386" s="235" t="n">
        <v>2</v>
      </c>
      <c r="J386" s="236" t="n">
        <v>0.25</v>
      </c>
      <c r="K386" s="237" t="n">
        <v>0.153093109</v>
      </c>
    </row>
    <row r="387" customFormat="false" ht="13.8" hidden="false" customHeight="false" outlineLevel="0" collapsed="false">
      <c r="A387" s="234"/>
      <c r="B387" s="238" t="s">
        <v>267</v>
      </c>
      <c r="C387" s="238" t="n">
        <v>1</v>
      </c>
      <c r="D387" s="239" t="n">
        <v>0.166666667</v>
      </c>
      <c r="E387" s="240" t="n">
        <v>0.152145155</v>
      </c>
      <c r="G387" s="234"/>
      <c r="H387" s="29"/>
      <c r="I387" s="235"/>
      <c r="J387" s="236"/>
      <c r="K387" s="237"/>
    </row>
    <row r="388" customFormat="false" ht="13.8" hidden="false" customHeight="false" outlineLevel="0" collapsed="false">
      <c r="A388" s="234"/>
      <c r="B388" s="241" t="s">
        <v>222</v>
      </c>
      <c r="C388" s="241"/>
      <c r="D388" s="241"/>
      <c r="E388" s="241"/>
      <c r="G388" s="234"/>
      <c r="H388" s="29"/>
      <c r="I388" s="235"/>
      <c r="J388" s="236"/>
      <c r="K388" s="237"/>
    </row>
    <row r="389" customFormat="false" ht="13.8" hidden="false" customHeight="false" outlineLevel="0" collapsed="false">
      <c r="A389" s="234"/>
      <c r="B389" s="29" t="s">
        <v>277</v>
      </c>
      <c r="C389" s="235" t="s">
        <v>263</v>
      </c>
      <c r="D389" s="235" t="s">
        <v>242</v>
      </c>
      <c r="E389" s="114" t="s">
        <v>223</v>
      </c>
      <c r="G389" s="234"/>
      <c r="H389" s="29" t="s">
        <v>278</v>
      </c>
      <c r="I389" s="235" t="s">
        <v>263</v>
      </c>
      <c r="J389" s="236" t="s">
        <v>242</v>
      </c>
      <c r="K389" s="237" t="s">
        <v>223</v>
      </c>
    </row>
    <row r="390" customFormat="false" ht="13.8" hidden="false" customHeight="false" outlineLevel="0" collapsed="false">
      <c r="A390" s="234"/>
      <c r="B390" s="29" t="s">
        <v>265</v>
      </c>
      <c r="C390" s="235" t="n">
        <v>6</v>
      </c>
      <c r="D390" s="235"/>
      <c r="E390" s="114"/>
      <c r="G390" s="234"/>
      <c r="H390" s="29" t="s">
        <v>265</v>
      </c>
      <c r="I390" s="235" t="n">
        <v>7</v>
      </c>
      <c r="J390" s="236"/>
      <c r="K390" s="237"/>
    </row>
    <row r="391" customFormat="false" ht="13.8" hidden="false" customHeight="false" outlineLevel="0" collapsed="false">
      <c r="A391" s="234"/>
      <c r="B391" s="29" t="s">
        <v>266</v>
      </c>
      <c r="C391" s="235" t="n">
        <v>0</v>
      </c>
      <c r="D391" s="236" t="n">
        <v>0</v>
      </c>
      <c r="E391" s="237" t="n">
        <v>0</v>
      </c>
      <c r="G391" s="234"/>
      <c r="H391" s="29" t="s">
        <v>266</v>
      </c>
      <c r="I391" s="235" t="n">
        <v>0</v>
      </c>
      <c r="J391" s="236" t="n">
        <v>0</v>
      </c>
      <c r="K391" s="237" t="n">
        <v>0</v>
      </c>
    </row>
    <row r="392" customFormat="false" ht="13.8" hidden="false" customHeight="false" outlineLevel="0" collapsed="false">
      <c r="A392" s="234"/>
      <c r="B392" s="29" t="s">
        <v>267</v>
      </c>
      <c r="C392" s="235" t="n">
        <v>4</v>
      </c>
      <c r="D392" s="236" t="n">
        <v>0.666666667</v>
      </c>
      <c r="E392" s="237" t="n">
        <v>0.19245009</v>
      </c>
      <c r="G392" s="234"/>
      <c r="H392" s="238" t="s">
        <v>267</v>
      </c>
      <c r="I392" s="238" t="n">
        <v>2</v>
      </c>
      <c r="J392" s="239" t="n">
        <v>0.285714286</v>
      </c>
      <c r="K392" s="240" t="n">
        <v>0.170746944</v>
      </c>
    </row>
    <row r="393" customFormat="false" ht="13.8" hidden="false" customHeight="false" outlineLevel="0" collapsed="false">
      <c r="A393" s="234"/>
      <c r="B393" s="29"/>
      <c r="C393" s="235"/>
      <c r="D393" s="236"/>
      <c r="E393" s="237"/>
    </row>
    <row r="394" customFormat="false" ht="13.8" hidden="false" customHeight="false" outlineLevel="0" collapsed="false">
      <c r="A394" s="234"/>
      <c r="B394" s="29"/>
      <c r="C394" s="235"/>
      <c r="D394" s="236"/>
      <c r="E394" s="237"/>
    </row>
    <row r="395" customFormat="false" ht="13.8" hidden="false" customHeight="false" outlineLevel="0" collapsed="false">
      <c r="A395" s="234"/>
      <c r="B395" s="29" t="s">
        <v>279</v>
      </c>
      <c r="C395" s="235" t="s">
        <v>263</v>
      </c>
      <c r="D395" s="236" t="s">
        <v>242</v>
      </c>
      <c r="E395" s="237" t="s">
        <v>223</v>
      </c>
    </row>
    <row r="396" customFormat="false" ht="13.8" hidden="false" customHeight="false" outlineLevel="0" collapsed="false">
      <c r="A396" s="234"/>
      <c r="B396" s="29" t="s">
        <v>265</v>
      </c>
      <c r="C396" s="235" t="n">
        <v>7</v>
      </c>
      <c r="D396" s="236"/>
      <c r="E396" s="237"/>
    </row>
    <row r="397" customFormat="false" ht="13.8" hidden="false" customHeight="false" outlineLevel="0" collapsed="false">
      <c r="A397" s="234"/>
      <c r="B397" s="29" t="s">
        <v>266</v>
      </c>
      <c r="C397" s="235" t="n">
        <v>2</v>
      </c>
      <c r="D397" s="236" t="n">
        <v>0.285714286</v>
      </c>
      <c r="E397" s="237" t="n">
        <v>0.170746944</v>
      </c>
    </row>
    <row r="398" customFormat="false" ht="13.8" hidden="false" customHeight="false" outlineLevel="0" collapsed="false">
      <c r="A398" s="234"/>
      <c r="B398" s="29" t="s">
        <v>267</v>
      </c>
      <c r="C398" s="235" t="n">
        <v>4</v>
      </c>
      <c r="D398" s="236" t="n">
        <v>0.571428571</v>
      </c>
      <c r="E398" s="237" t="n">
        <v>0.187043906</v>
      </c>
    </row>
    <row r="399" customFormat="false" ht="13.8" hidden="false" customHeight="false" outlineLevel="0" collapsed="false">
      <c r="A399" s="234"/>
      <c r="B399" s="29"/>
      <c r="C399" s="235"/>
      <c r="D399" s="236"/>
      <c r="E399" s="237"/>
    </row>
    <row r="400" customFormat="false" ht="13.8" hidden="false" customHeight="false" outlineLevel="0" collapsed="false">
      <c r="A400" s="234"/>
      <c r="B400" s="29"/>
      <c r="C400" s="235"/>
      <c r="D400" s="236"/>
      <c r="E400" s="237"/>
    </row>
    <row r="401" customFormat="false" ht="13.8" hidden="false" customHeight="false" outlineLevel="0" collapsed="false">
      <c r="A401" s="234"/>
      <c r="B401" s="29" t="s">
        <v>280</v>
      </c>
      <c r="C401" s="235" t="s">
        <v>263</v>
      </c>
      <c r="D401" s="236" t="s">
        <v>242</v>
      </c>
      <c r="E401" s="237" t="s">
        <v>223</v>
      </c>
    </row>
    <row r="402" customFormat="false" ht="13.8" hidden="false" customHeight="false" outlineLevel="0" collapsed="false">
      <c r="A402" s="234"/>
      <c r="B402" s="29" t="s">
        <v>265</v>
      </c>
      <c r="C402" s="235" t="n">
        <v>6</v>
      </c>
      <c r="D402" s="236"/>
      <c r="E402" s="237"/>
    </row>
    <row r="403" customFormat="false" ht="13.8" hidden="false" customHeight="false" outlineLevel="0" collapsed="false">
      <c r="A403" s="234"/>
      <c r="B403" s="29" t="s">
        <v>266</v>
      </c>
      <c r="C403" s="235" t="n">
        <v>1</v>
      </c>
      <c r="D403" s="236" t="n">
        <v>0.166666667</v>
      </c>
      <c r="E403" s="237" t="n">
        <v>0.152145155</v>
      </c>
    </row>
    <row r="404" customFormat="false" ht="13.8" hidden="false" customHeight="false" outlineLevel="0" collapsed="false">
      <c r="A404" s="234"/>
      <c r="B404" s="29" t="s">
        <v>267</v>
      </c>
      <c r="C404" s="235" t="n">
        <v>1</v>
      </c>
      <c r="D404" s="236" t="n">
        <v>0.166666667</v>
      </c>
      <c r="E404" s="237" t="n">
        <v>0.152145155</v>
      </c>
    </row>
    <row r="405" customFormat="false" ht="13.8" hidden="false" customHeight="false" outlineLevel="0" collapsed="false">
      <c r="A405" s="234"/>
      <c r="B405" s="29"/>
      <c r="C405" s="235"/>
      <c r="D405" s="236"/>
      <c r="E405" s="237"/>
    </row>
    <row r="406" customFormat="false" ht="13.8" hidden="false" customHeight="false" outlineLevel="0" collapsed="false">
      <c r="A406" s="234"/>
      <c r="B406" s="29"/>
      <c r="C406" s="235"/>
      <c r="D406" s="236"/>
      <c r="E406" s="237"/>
    </row>
    <row r="407" customFormat="false" ht="13.8" hidden="false" customHeight="false" outlineLevel="0" collapsed="false">
      <c r="A407" s="234"/>
      <c r="B407" s="29" t="s">
        <v>281</v>
      </c>
      <c r="C407" s="235" t="s">
        <v>263</v>
      </c>
      <c r="D407" s="236" t="s">
        <v>242</v>
      </c>
      <c r="E407" s="237" t="s">
        <v>223</v>
      </c>
    </row>
    <row r="408" customFormat="false" ht="13.8" hidden="false" customHeight="false" outlineLevel="0" collapsed="false">
      <c r="A408" s="234"/>
      <c r="B408" s="29" t="s">
        <v>265</v>
      </c>
      <c r="C408" s="235" t="n">
        <v>5</v>
      </c>
      <c r="D408" s="236"/>
      <c r="E408" s="237"/>
    </row>
    <row r="409" customFormat="false" ht="13.8" hidden="false" customHeight="false" outlineLevel="0" collapsed="false">
      <c r="A409" s="234"/>
      <c r="B409" s="29" t="s">
        <v>266</v>
      </c>
      <c r="C409" s="235" t="n">
        <v>0</v>
      </c>
      <c r="D409" s="236" t="n">
        <v>0</v>
      </c>
      <c r="E409" s="237" t="n">
        <v>0</v>
      </c>
    </row>
    <row r="410" customFormat="false" ht="13.8" hidden="false" customHeight="false" outlineLevel="0" collapsed="false">
      <c r="A410" s="234"/>
      <c r="B410" s="238" t="s">
        <v>267</v>
      </c>
      <c r="C410" s="238" t="n">
        <v>3</v>
      </c>
      <c r="D410" s="239" t="n">
        <v>0.6</v>
      </c>
      <c r="E410" s="240" t="n">
        <v>0.219089023</v>
      </c>
    </row>
    <row r="412" customFormat="false" ht="13.8" hidden="false" customHeight="false" outlineLevel="0" collapsed="false">
      <c r="A412" s="0" t="s">
        <v>282</v>
      </c>
    </row>
    <row r="413" customFormat="false" ht="13.8" hidden="false" customHeight="false" outlineLevel="0" collapsed="false">
      <c r="A413" s="0" t="n">
        <v>1</v>
      </c>
      <c r="B413" s="0" t="n">
        <v>0.972547761473724</v>
      </c>
      <c r="C413" s="0" t="n">
        <v>0.972547761473724</v>
      </c>
      <c r="D413" s="0" t="n">
        <v>19.4452098819599</v>
      </c>
      <c r="E413" s="0" t="n">
        <v>0.000338152763498452</v>
      </c>
      <c r="F413" s="0" t="s">
        <v>283</v>
      </c>
    </row>
    <row r="414" customFormat="false" ht="13.8" hidden="false" customHeight="false" outlineLevel="0" collapsed="false">
      <c r="A414" s="0" t="n">
        <v>2</v>
      </c>
      <c r="B414" s="0" t="n">
        <v>0.34925483491988</v>
      </c>
      <c r="C414" s="0" t="n">
        <v>0.17462741745994</v>
      </c>
      <c r="D414" s="0" t="n">
        <v>3.49151673384927</v>
      </c>
      <c r="E414" s="0" t="n">
        <v>0.0523173837654518</v>
      </c>
      <c r="F414" s="0" t="s">
        <v>284</v>
      </c>
    </row>
    <row r="415" customFormat="false" ht="14.9" hidden="false" customHeight="false" outlineLevel="0" collapsed="false">
      <c r="A415" s="0" t="n">
        <v>2</v>
      </c>
      <c r="B415" s="0" t="n">
        <v>0.0629639078490165</v>
      </c>
      <c r="C415" s="0" t="n">
        <v>0.0314819539245082</v>
      </c>
      <c r="D415" s="0" t="n">
        <v>0.629453098147708</v>
      </c>
      <c r="E415" s="0" t="n">
        <v>0.544211838715088</v>
      </c>
      <c r="F415" s="0" t="s">
        <v>285</v>
      </c>
    </row>
    <row r="416" customFormat="false" ht="13.8" hidden="false" customHeight="false" outlineLevel="0" collapsed="false">
      <c r="A416" s="0" t="n">
        <v>18</v>
      </c>
      <c r="B416" s="0" t="n">
        <v>0.900265917045613</v>
      </c>
      <c r="C416" s="0" t="n">
        <v>0.0500147731692007</v>
      </c>
      <c r="F416" s="0" t="s">
        <v>286</v>
      </c>
    </row>
    <row r="418" customFormat="false" ht="13.8" hidden="false" customHeight="false" outlineLevel="0" collapsed="false">
      <c r="A418" s="0" t="s">
        <v>287</v>
      </c>
    </row>
    <row r="419" customFormat="false" ht="13.8" hidden="false" customHeight="false" outlineLevel="0" collapsed="false">
      <c r="A419" s="0" t="n">
        <v>1</v>
      </c>
      <c r="B419" s="0" t="n">
        <v>0.0741125866519748</v>
      </c>
      <c r="C419" s="0" t="n">
        <v>0.0741125866519748</v>
      </c>
      <c r="D419" s="0" t="n">
        <v>1.99847298422343</v>
      </c>
      <c r="E419" s="0" t="n">
        <v>0.182871745661047</v>
      </c>
      <c r="F419" s="0" t="s">
        <v>283</v>
      </c>
    </row>
    <row r="420" customFormat="false" ht="13.8" hidden="false" customHeight="false" outlineLevel="0" collapsed="false">
      <c r="A420" s="0" t="n">
        <v>2</v>
      </c>
      <c r="B420" s="0" t="n">
        <v>0.059107580483631</v>
      </c>
      <c r="C420" s="0" t="n">
        <v>0.0295537902418155</v>
      </c>
      <c r="D420" s="0" t="n">
        <v>0.796928754585583</v>
      </c>
      <c r="E420" s="0" t="n">
        <v>0.473185247621829</v>
      </c>
      <c r="F420" s="0" t="s">
        <v>284</v>
      </c>
    </row>
    <row r="421" customFormat="false" ht="14.9" hidden="false" customHeight="false" outlineLevel="0" collapsed="false">
      <c r="A421" s="0" t="n">
        <v>2</v>
      </c>
      <c r="B421" s="0" t="n">
        <v>0.26961969100474</v>
      </c>
      <c r="C421" s="0" t="n">
        <v>0.13480984550237</v>
      </c>
      <c r="D421" s="0" t="n">
        <v>3.63519675151754</v>
      </c>
      <c r="E421" s="0" t="n">
        <v>0.0583101257263716</v>
      </c>
      <c r="F421" s="0" t="s">
        <v>285</v>
      </c>
    </row>
    <row r="422" customFormat="false" ht="13.8" hidden="false" customHeight="false" outlineLevel="0" collapsed="false">
      <c r="A422" s="0" t="n">
        <v>12</v>
      </c>
      <c r="B422" s="0" t="n">
        <v>0.445015292598155</v>
      </c>
      <c r="C422" s="0" t="n">
        <v>0.0370846077165129</v>
      </c>
      <c r="F422" s="0" t="s">
        <v>286</v>
      </c>
    </row>
    <row r="425" s="243" customFormat="true" ht="13.8" hidden="false" customHeight="false" outlineLevel="0" collapsed="false">
      <c r="A425" s="242" t="s">
        <v>288</v>
      </c>
      <c r="AMJ425" s="0"/>
    </row>
    <row r="427" customFormat="false" ht="13.8" hidden="false" customHeight="false" outlineLevel="0" collapsed="false">
      <c r="A427" s="4" t="s">
        <v>1</v>
      </c>
      <c r="B427" s="4" t="s">
        <v>52</v>
      </c>
      <c r="C427" s="3" t="s">
        <v>9</v>
      </c>
      <c r="D427" s="5" t="s">
        <v>289</v>
      </c>
      <c r="E427" s="3" t="s">
        <v>290</v>
      </c>
      <c r="F427" s="244" t="s">
        <v>291</v>
      </c>
    </row>
    <row r="428" customFormat="false" ht="13.8" hidden="false" customHeight="false" outlineLevel="0" collapsed="false">
      <c r="A428" s="16"/>
      <c r="B428" s="16"/>
      <c r="C428" s="11"/>
      <c r="D428" s="12"/>
      <c r="E428" s="17"/>
      <c r="F428" s="245"/>
    </row>
    <row r="429" customFormat="false" ht="13.8" hidden="false" customHeight="false" outlineLevel="0" collapsed="false">
      <c r="A429" s="68" t="s">
        <v>154</v>
      </c>
      <c r="B429" s="68" t="s">
        <v>48</v>
      </c>
      <c r="C429" s="86" t="n">
        <v>0.360411615610969</v>
      </c>
      <c r="D429" s="86" t="n">
        <v>0.243300332282885</v>
      </c>
      <c r="E429" s="68" t="s">
        <v>292</v>
      </c>
      <c r="F429" s="246" t="n">
        <v>109</v>
      </c>
    </row>
    <row r="430" customFormat="false" ht="13.8" hidden="false" customHeight="false" outlineLevel="0" collapsed="false">
      <c r="A430" s="81"/>
      <c r="B430" s="81" t="s">
        <v>50</v>
      </c>
      <c r="C430" s="247" t="n">
        <v>0.267544207555482</v>
      </c>
      <c r="D430" s="247" t="n">
        <v>0.19877808067302</v>
      </c>
      <c r="E430" s="177" t="s">
        <v>293</v>
      </c>
      <c r="F430" s="248" t="n">
        <v>109</v>
      </c>
    </row>
    <row r="431" customFormat="false" ht="13.8" hidden="false" customHeight="false" outlineLevel="0" collapsed="false">
      <c r="A431" s="177"/>
      <c r="B431" s="70" t="s">
        <v>48</v>
      </c>
      <c r="C431" s="247" t="n">
        <v>0.22109345774671</v>
      </c>
      <c r="D431" s="247" t="n">
        <v>0.158982391171909</v>
      </c>
      <c r="E431" s="177" t="s">
        <v>292</v>
      </c>
      <c r="F431" s="248" t="n">
        <v>86</v>
      </c>
    </row>
    <row r="432" customFormat="false" ht="13.8" hidden="false" customHeight="false" outlineLevel="0" collapsed="false">
      <c r="A432" s="55"/>
      <c r="B432" s="249" t="s">
        <v>50</v>
      </c>
      <c r="C432" s="51" t="n">
        <v>0.262579130179212</v>
      </c>
      <c r="D432" s="51" t="n">
        <v>0.171569574528865</v>
      </c>
      <c r="E432" s="55" t="s">
        <v>293</v>
      </c>
      <c r="F432" s="250" t="n">
        <v>86</v>
      </c>
    </row>
    <row r="434" customFormat="false" ht="13.8" hidden="false" customHeight="false" outlineLevel="0" collapsed="false">
      <c r="A434" s="4" t="s">
        <v>1</v>
      </c>
      <c r="B434" s="4" t="s">
        <v>52</v>
      </c>
      <c r="C434" s="3" t="s">
        <v>294</v>
      </c>
      <c r="D434" s="251" t="s">
        <v>295</v>
      </c>
      <c r="E434" s="252" t="s">
        <v>296</v>
      </c>
    </row>
    <row r="435" customFormat="false" ht="13.8" hidden="false" customHeight="false" outlineLevel="0" collapsed="false">
      <c r="A435" s="16"/>
      <c r="B435" s="16"/>
      <c r="C435" s="11"/>
      <c r="D435" s="253"/>
      <c r="E435" s="254"/>
    </row>
    <row r="436" customFormat="false" ht="13.8" hidden="false" customHeight="false" outlineLevel="0" collapsed="false">
      <c r="A436" s="68" t="s">
        <v>158</v>
      </c>
      <c r="B436" s="68" t="s">
        <v>297</v>
      </c>
      <c r="C436" s="0" t="n">
        <v>0.00730348689710475</v>
      </c>
      <c r="D436" s="0" t="n">
        <v>0.843996761051988</v>
      </c>
      <c r="E436" s="0" t="n">
        <v>-1.6106882579886</v>
      </c>
    </row>
    <row r="437" customFormat="false" ht="13.8" hidden="false" customHeight="false" outlineLevel="0" collapsed="false">
      <c r="A437" s="81"/>
      <c r="B437" s="81" t="s">
        <v>298</v>
      </c>
      <c r="C437" s="0" t="n">
        <v>2.80143249862314E-005</v>
      </c>
      <c r="D437" s="0" t="n">
        <v>0.00521066444743903</v>
      </c>
      <c r="E437" s="0" t="n">
        <v>-1.01051236808309</v>
      </c>
    </row>
    <row r="438" customFormat="false" ht="13.8" hidden="false" customHeight="false" outlineLevel="0" collapsed="false">
      <c r="A438" s="177"/>
      <c r="B438" s="70" t="s">
        <v>299</v>
      </c>
      <c r="C438" s="0" t="n">
        <v>0.00026304011439564</v>
      </c>
      <c r="D438" s="0" t="n">
        <v>0.0426124985320937</v>
      </c>
      <c r="E438" s="0" t="n">
        <v>-0.183862013644295</v>
      </c>
    </row>
    <row r="439" customFormat="false" ht="13.8" hidden="false" customHeight="false" outlineLevel="0" collapsed="false">
      <c r="A439" s="55"/>
      <c r="B439" s="249" t="s">
        <v>300</v>
      </c>
      <c r="C439" s="0" t="n">
        <v>0.000924570405838014</v>
      </c>
      <c r="D439" s="0" t="n">
        <v>0.134062708846512</v>
      </c>
      <c r="E439" s="0" t="n">
        <v>0.441013936791739</v>
      </c>
    </row>
    <row r="440" customFormat="false" ht="13.8" hidden="false" customHeight="false" outlineLevel="0" collapsed="false">
      <c r="B440" s="177" t="s">
        <v>301</v>
      </c>
      <c r="C440" s="0" t="n">
        <v>0.00286027105486347</v>
      </c>
      <c r="D440" s="0" t="n">
        <v>0.380416050296841</v>
      </c>
      <c r="E440" s="0" t="n">
        <v>0.783491501014121</v>
      </c>
    </row>
    <row r="441" customFormat="false" ht="13.8" hidden="false" customHeight="false" outlineLevel="0" collapsed="false">
      <c r="B441" s="177" t="s">
        <v>302</v>
      </c>
      <c r="C441" s="0" t="n">
        <v>0.0072758341469999</v>
      </c>
      <c r="D441" s="0" t="n">
        <v>0.843996761051988</v>
      </c>
      <c r="E441" s="0" t="n">
        <v>1.10002437595631</v>
      </c>
    </row>
    <row r="443" customFormat="false" ht="13.8" hidden="false" customHeight="false" outlineLevel="0" collapsed="false">
      <c r="A443" s="4" t="s">
        <v>1</v>
      </c>
      <c r="B443" s="4" t="s">
        <v>52</v>
      </c>
      <c r="C443" s="3" t="s">
        <v>303</v>
      </c>
      <c r="D443" s="5" t="s">
        <v>304</v>
      </c>
      <c r="E443" s="255" t="s">
        <v>305</v>
      </c>
      <c r="F443" s="256" t="s">
        <v>306</v>
      </c>
      <c r="G443" s="257"/>
    </row>
    <row r="444" customFormat="false" ht="13.8" hidden="false" customHeight="false" outlineLevel="0" collapsed="false">
      <c r="A444" s="16"/>
      <c r="B444" s="16"/>
      <c r="C444" s="11"/>
      <c r="D444" s="12"/>
      <c r="E444" s="258"/>
      <c r="F444" s="259" t="s">
        <v>307</v>
      </c>
      <c r="G444" s="260" t="s">
        <v>308</v>
      </c>
    </row>
    <row r="445" customFormat="false" ht="13.8" hidden="false" customHeight="false" outlineLevel="0" collapsed="false">
      <c r="A445" s="177" t="s">
        <v>234</v>
      </c>
      <c r="B445" s="70" t="s">
        <v>48</v>
      </c>
      <c r="C445" s="29" t="s">
        <v>309</v>
      </c>
      <c r="D445" s="0" t="n">
        <v>15</v>
      </c>
      <c r="E445" s="0" t="n">
        <f aca="false">D445/SUM(D445:D446)</f>
        <v>0.714285714285714</v>
      </c>
      <c r="F445" s="0" t="n">
        <v>0.887190596078059</v>
      </c>
      <c r="G445" s="0" t="n">
        <v>0.478248881752886</v>
      </c>
    </row>
    <row r="446" customFormat="false" ht="13.8" hidden="false" customHeight="false" outlineLevel="0" collapsed="false">
      <c r="B446" s="70" t="s">
        <v>48</v>
      </c>
      <c r="C446" s="39" t="s">
        <v>310</v>
      </c>
      <c r="D446" s="0" t="n">
        <v>6</v>
      </c>
      <c r="E446" s="0" t="n">
        <f aca="false">D446/SUM(D445:D446)</f>
        <v>0.285714285714286</v>
      </c>
      <c r="F446" s="0" t="n">
        <v>0.521751118247114</v>
      </c>
      <c r="G446" s="0" t="n">
        <v>0.112809403921941</v>
      </c>
    </row>
    <row r="447" customFormat="false" ht="13.8" hidden="false" customHeight="false" outlineLevel="0" collapsed="false">
      <c r="B447" s="81" t="s">
        <v>50</v>
      </c>
      <c r="C447" s="29" t="s">
        <v>309</v>
      </c>
      <c r="D447" s="0" t="n">
        <v>16</v>
      </c>
      <c r="E447" s="0" t="n">
        <f aca="false">D447/SUM(D$447:D$449)</f>
        <v>0.470588235294118</v>
      </c>
      <c r="F447" s="0" t="n">
        <v>0.648707162948588</v>
      </c>
      <c r="G447" s="0" t="n">
        <v>0.297786666418196</v>
      </c>
    </row>
    <row r="448" customFormat="false" ht="13.8" hidden="false" customHeight="false" outlineLevel="0" collapsed="false">
      <c r="B448" s="81" t="s">
        <v>50</v>
      </c>
      <c r="C448" s="39" t="s">
        <v>310</v>
      </c>
      <c r="D448" s="0" t="n">
        <v>11</v>
      </c>
      <c r="E448" s="0" t="n">
        <f aca="false">D448/SUM(D$447:D$449)</f>
        <v>0.323529411764706</v>
      </c>
      <c r="F448" s="0" t="n">
        <v>0.505265300898505</v>
      </c>
      <c r="G448" s="0" t="n">
        <v>0.173883427493921</v>
      </c>
    </row>
    <row r="449" customFormat="false" ht="13.8" hidden="false" customHeight="false" outlineLevel="0" collapsed="false">
      <c r="B449" s="81" t="s">
        <v>50</v>
      </c>
      <c r="C449" s="0" t="s">
        <v>311</v>
      </c>
      <c r="D449" s="0" t="n">
        <v>7</v>
      </c>
      <c r="E449" s="0" t="n">
        <f aca="false">D449/SUM(D$447:D$449)</f>
        <v>0.205882352941176</v>
      </c>
      <c r="F449" s="0" t="n">
        <v>0.378977748539683</v>
      </c>
      <c r="G449" s="0" t="n">
        <v>0.0870213054581271</v>
      </c>
    </row>
    <row r="451" customFormat="false" ht="13.8" hidden="false" customHeight="false" outlineLevel="0" collapsed="false">
      <c r="A451" s="4" t="s">
        <v>1</v>
      </c>
      <c r="B451" s="4" t="s">
        <v>52</v>
      </c>
      <c r="C451" s="3" t="s">
        <v>303</v>
      </c>
      <c r="D451" s="3" t="s">
        <v>9</v>
      </c>
      <c r="E451" s="5" t="s">
        <v>289</v>
      </c>
      <c r="F451" s="244" t="s">
        <v>304</v>
      </c>
    </row>
    <row r="452" customFormat="false" ht="13.8" hidden="false" customHeight="false" outlineLevel="0" collapsed="false">
      <c r="A452" s="16"/>
      <c r="B452" s="16"/>
      <c r="C452" s="11"/>
      <c r="D452" s="11"/>
      <c r="E452" s="12"/>
      <c r="F452" s="245"/>
    </row>
    <row r="453" customFormat="false" ht="13.8" hidden="false" customHeight="false" outlineLevel="0" collapsed="false">
      <c r="A453" s="0" t="s">
        <v>243</v>
      </c>
      <c r="B453" s="70" t="s">
        <v>48</v>
      </c>
      <c r="C453" s="29" t="s">
        <v>309</v>
      </c>
      <c r="D453" s="177" t="n">
        <v>0.713980463980464</v>
      </c>
      <c r="E453" s="177" t="n">
        <v>0.75</v>
      </c>
      <c r="F453" s="177" t="n">
        <v>15</v>
      </c>
    </row>
    <row r="454" customFormat="false" ht="13.8" hidden="false" customHeight="false" outlineLevel="0" collapsed="false">
      <c r="B454" s="70" t="s">
        <v>48</v>
      </c>
      <c r="C454" s="39" t="s">
        <v>310</v>
      </c>
      <c r="D454" s="177" t="n">
        <v>0.567592592592593</v>
      </c>
      <c r="E454" s="177" t="n">
        <v>0.577777777777778</v>
      </c>
      <c r="F454" s="177" t="n">
        <v>6</v>
      </c>
    </row>
    <row r="455" customFormat="false" ht="13.8" hidden="false" customHeight="false" outlineLevel="0" collapsed="false">
      <c r="B455" s="81" t="s">
        <v>50</v>
      </c>
      <c r="C455" s="29" t="s">
        <v>309</v>
      </c>
      <c r="D455" s="177" t="n">
        <v>0.744791666666667</v>
      </c>
      <c r="E455" s="177" t="n">
        <v>0.708333333333333</v>
      </c>
      <c r="F455" s="177" t="n">
        <v>16</v>
      </c>
    </row>
    <row r="456" customFormat="false" ht="13.8" hidden="false" customHeight="false" outlineLevel="0" collapsed="false">
      <c r="B456" s="81" t="s">
        <v>50</v>
      </c>
      <c r="C456" s="39" t="s">
        <v>310</v>
      </c>
      <c r="D456" s="177" t="n">
        <v>0.709090909090909</v>
      </c>
      <c r="E456" s="177" t="n">
        <v>0.666666666666667</v>
      </c>
      <c r="F456" s="177" t="n">
        <v>11</v>
      </c>
    </row>
    <row r="457" customFormat="false" ht="13.8" hidden="false" customHeight="false" outlineLevel="0" collapsed="false">
      <c r="B457" s="81" t="s">
        <v>50</v>
      </c>
      <c r="C457" s="0" t="s">
        <v>311</v>
      </c>
      <c r="D457" s="177" t="n">
        <v>0.747619047619048</v>
      </c>
      <c r="E457" s="177" t="n">
        <v>0.666666666666667</v>
      </c>
      <c r="F457" s="177" t="n">
        <v>7</v>
      </c>
    </row>
    <row r="459" customFormat="false" ht="13.8" hidden="false" customHeight="false" outlineLevel="0" collapsed="false">
      <c r="A459" s="120" t="s">
        <v>312</v>
      </c>
      <c r="B459" s="120"/>
      <c r="C459" s="120"/>
      <c r="D459" s="120"/>
      <c r="E459" s="120"/>
      <c r="F459" s="120"/>
    </row>
    <row r="460" customFormat="false" ht="13.8" hidden="false" customHeight="false" outlineLevel="0" collapsed="false">
      <c r="A460" s="17" t="s">
        <v>171</v>
      </c>
      <c r="B460" s="18" t="s">
        <v>172</v>
      </c>
      <c r="C460" s="18" t="s">
        <v>173</v>
      </c>
      <c r="D460" s="18" t="s">
        <v>174</v>
      </c>
      <c r="E460" s="18" t="s">
        <v>175</v>
      </c>
      <c r="F460" s="19"/>
    </row>
    <row r="461" customFormat="false" ht="13.8" hidden="false" customHeight="false" outlineLevel="0" collapsed="false">
      <c r="A461" s="0" t="n">
        <v>1</v>
      </c>
      <c r="B461" s="0" t="n">
        <v>0.50037094764255</v>
      </c>
      <c r="C461" s="0" t="n">
        <v>0.50037094764255</v>
      </c>
      <c r="D461" s="0" t="n">
        <v>4.71875366379667</v>
      </c>
      <c r="E461" s="0" t="n">
        <v>0.0304433866581778</v>
      </c>
      <c r="F461" s="0" t="s">
        <v>52</v>
      </c>
    </row>
    <row r="462" customFormat="false" ht="13.8" hidden="false" customHeight="false" outlineLevel="0" collapsed="false">
      <c r="A462" s="0" t="n">
        <v>1</v>
      </c>
      <c r="B462" s="0" t="n">
        <v>0.11016701601286</v>
      </c>
      <c r="C462" s="0" t="n">
        <v>0.11016701601286</v>
      </c>
      <c r="D462" s="0" t="n">
        <v>1.03893124268997</v>
      </c>
      <c r="E462" s="0" t="n">
        <v>0.30870858134428</v>
      </c>
      <c r="F462" s="0" t="s">
        <v>290</v>
      </c>
    </row>
    <row r="463" customFormat="false" ht="13.8" hidden="false" customHeight="false" outlineLevel="0" collapsed="false">
      <c r="A463" s="0" t="n">
        <v>1</v>
      </c>
      <c r="B463" s="0" t="n">
        <v>0.433865981328204</v>
      </c>
      <c r="C463" s="0" t="n">
        <v>0.433865981328204</v>
      </c>
      <c r="D463" s="0" t="n">
        <v>4.09157785565868</v>
      </c>
      <c r="E463" s="0" t="n">
        <v>0.0437863723490364</v>
      </c>
      <c r="F463" s="0" t="s">
        <v>313</v>
      </c>
    </row>
    <row r="464" customFormat="false" ht="13.8" hidden="false" customHeight="false" outlineLevel="0" collapsed="false">
      <c r="A464" s="0" t="n">
        <v>386</v>
      </c>
      <c r="B464" s="0" t="n">
        <v>40.9309744799483</v>
      </c>
      <c r="C464" s="0" t="n">
        <v>0.106038793989503</v>
      </c>
    </row>
    <row r="466" customFormat="false" ht="13.8" hidden="false" customHeight="true" outlineLevel="0" collapsed="false">
      <c r="A466" s="261" t="s">
        <v>314</v>
      </c>
      <c r="B466" s="261"/>
      <c r="C466" s="261"/>
      <c r="D466" s="261"/>
      <c r="E466" s="261"/>
    </row>
    <row r="467" customFormat="false" ht="13.8" hidden="false" customHeight="false" outlineLevel="0" collapsed="false">
      <c r="A467" s="258" t="s">
        <v>184</v>
      </c>
      <c r="B467" s="259" t="s">
        <v>185</v>
      </c>
      <c r="C467" s="259" t="s">
        <v>186</v>
      </c>
      <c r="D467" s="259" t="s">
        <v>187</v>
      </c>
      <c r="E467" s="245"/>
    </row>
    <row r="468" customFormat="false" ht="13.8" hidden="false" customHeight="false" outlineLevel="0" collapsed="false">
      <c r="A468" s="0" t="n">
        <v>-0.139318157864258</v>
      </c>
      <c r="B468" s="0" t="n">
        <v>-0.260503526572325</v>
      </c>
      <c r="C468" s="0" t="n">
        <v>-0.0181327891561913</v>
      </c>
      <c r="D468" s="0" t="n">
        <v>0.0168202331309332</v>
      </c>
      <c r="E468" s="0" t="s">
        <v>315</v>
      </c>
    </row>
    <row r="469" customFormat="false" ht="13.8" hidden="false" customHeight="false" outlineLevel="0" collapsed="false">
      <c r="A469" s="0" t="n">
        <v>-0.0928674080554862</v>
      </c>
      <c r="B469" s="0" t="n">
        <v>-0.206681780030939</v>
      </c>
      <c r="C469" s="0" t="n">
        <v>0.0209469639199671</v>
      </c>
      <c r="D469" s="0" t="n">
        <v>0.153184904739057</v>
      </c>
      <c r="E469" s="235" t="s">
        <v>316</v>
      </c>
    </row>
    <row r="470" customFormat="false" ht="13.8" hidden="false" customHeight="false" outlineLevel="0" collapsed="false">
      <c r="A470" s="0" t="n">
        <v>-0.0978324854317562</v>
      </c>
      <c r="B470" s="0" t="n">
        <v>-0.219017854139823</v>
      </c>
      <c r="C470" s="0" t="n">
        <v>0.0233528832763106</v>
      </c>
      <c r="D470" s="0" t="n">
        <v>0.160467346374229</v>
      </c>
      <c r="E470" s="235" t="s">
        <v>317</v>
      </c>
    </row>
    <row r="471" customFormat="false" ht="13.8" hidden="false" customHeight="false" outlineLevel="0" collapsed="false">
      <c r="A471" s="0" t="n">
        <v>0.0464507498087718</v>
      </c>
      <c r="B471" s="0" t="n">
        <v>-0.074734618899295</v>
      </c>
      <c r="C471" s="0" t="n">
        <v>0.167636118516839</v>
      </c>
      <c r="D471" s="0" t="n">
        <v>0.755794755580998</v>
      </c>
      <c r="E471" s="235" t="s">
        <v>318</v>
      </c>
    </row>
    <row r="472" customFormat="false" ht="13.8" hidden="false" customHeight="false" outlineLevel="0" collapsed="false">
      <c r="A472" s="0" t="n">
        <v>0.0414856724325019</v>
      </c>
      <c r="B472" s="0" t="n">
        <v>-0.086647367450478</v>
      </c>
      <c r="C472" s="0" t="n">
        <v>0.169618712315482</v>
      </c>
      <c r="D472" s="0" t="n">
        <v>0.837582575188775</v>
      </c>
      <c r="E472" s="235" t="s">
        <v>319</v>
      </c>
    </row>
    <row r="473" customFormat="false" ht="13.8" hidden="false" customHeight="false" outlineLevel="0" collapsed="false">
      <c r="A473" s="0" t="n">
        <v>-0.00496507737626994</v>
      </c>
      <c r="B473" s="0" t="n">
        <v>-0.126150446084337</v>
      </c>
      <c r="C473" s="0" t="n">
        <v>0.116220291331797</v>
      </c>
      <c r="D473" s="0" t="n">
        <v>0.999576619757218</v>
      </c>
      <c r="E473" s="235" t="s">
        <v>320</v>
      </c>
    </row>
    <row r="475" customFormat="false" ht="13.8" hidden="false" customHeight="false" outlineLevel="0" collapsed="false">
      <c r="A475" s="262" t="s">
        <v>321</v>
      </c>
      <c r="B475" s="262"/>
      <c r="C475" s="262"/>
      <c r="D475" s="262"/>
      <c r="E475" s="262"/>
    </row>
    <row r="476" customFormat="false" ht="13.8" hidden="false" customHeight="false" outlineLevel="0" collapsed="false">
      <c r="A476" s="263" t="s">
        <v>322</v>
      </c>
    </row>
    <row r="477" customFormat="false" ht="13.8" hidden="false" customHeight="false" outlineLevel="0" collapsed="false">
      <c r="A477" s="29"/>
      <c r="B477" s="29" t="s">
        <v>323</v>
      </c>
      <c r="C477" s="29" t="s">
        <v>324</v>
      </c>
      <c r="D477" s="29" t="s">
        <v>325</v>
      </c>
      <c r="E477" s="29"/>
    </row>
    <row r="478" customFormat="false" ht="13.8" hidden="false" customHeight="false" outlineLevel="0" collapsed="false">
      <c r="A478" s="0" t="s">
        <v>326</v>
      </c>
      <c r="B478" s="0" t="n">
        <v>3</v>
      </c>
      <c r="C478" s="0" t="n">
        <v>7</v>
      </c>
      <c r="D478" s="0" t="n">
        <v>21</v>
      </c>
      <c r="E478" s="0" t="s">
        <v>327</v>
      </c>
    </row>
    <row r="479" customFormat="false" ht="13.8" hidden="false" customHeight="false" outlineLevel="0" collapsed="false">
      <c r="A479" s="0" t="s">
        <v>328</v>
      </c>
      <c r="B479" s="0" t="n">
        <v>0</v>
      </c>
      <c r="C479" s="0" t="n">
        <v>6</v>
      </c>
      <c r="D479" s="0" t="n">
        <v>15</v>
      </c>
    </row>
    <row r="481" customFormat="false" ht="13.8" hidden="false" customHeight="false" outlineLevel="0" collapsed="false">
      <c r="A481" s="263" t="s">
        <v>329</v>
      </c>
    </row>
    <row r="482" customFormat="false" ht="13.8" hidden="false" customHeight="false" outlineLevel="0" collapsed="false">
      <c r="A482" s="0" t="s">
        <v>330</v>
      </c>
      <c r="B482" s="0" t="n">
        <v>0.05</v>
      </c>
    </row>
    <row r="483" customFormat="false" ht="13.8" hidden="false" customHeight="false" outlineLevel="0" collapsed="false">
      <c r="A483" s="0" t="s">
        <v>331</v>
      </c>
      <c r="B483" s="0" t="n">
        <v>2</v>
      </c>
    </row>
    <row r="484" customFormat="false" ht="13.8" hidden="false" customHeight="false" outlineLevel="0" collapsed="false">
      <c r="A484" s="0" t="s">
        <v>332</v>
      </c>
      <c r="B484" s="0" t="n">
        <v>0.326841619356702</v>
      </c>
    </row>
    <row r="485" customFormat="false" ht="13.8" hidden="false" customHeight="false" outlineLevel="0" collapsed="false">
      <c r="A485" s="0" t="s">
        <v>333</v>
      </c>
      <c r="B485" s="0" t="n">
        <v>2.23655913978495</v>
      </c>
    </row>
    <row r="486" customFormat="false" ht="13.8" hidden="false" customHeight="false" outlineLevel="0" collapsed="false">
      <c r="A486" s="0" t="s">
        <v>334</v>
      </c>
      <c r="B486" s="0" t="n">
        <v>5.99146454710798</v>
      </c>
    </row>
    <row r="489" customFormat="false" ht="13.8" hidden="false" customHeight="false" outlineLevel="0" collapsed="false">
      <c r="A489" s="262" t="s">
        <v>335</v>
      </c>
      <c r="B489" s="262"/>
      <c r="C489" s="262"/>
      <c r="D489" s="262"/>
      <c r="E489" s="262"/>
    </row>
    <row r="490" customFormat="false" ht="13.8" hidden="false" customHeight="false" outlineLevel="0" collapsed="false">
      <c r="A490" s="263" t="s">
        <v>322</v>
      </c>
    </row>
    <row r="491" customFormat="false" ht="13.8" hidden="false" customHeight="false" outlineLevel="0" collapsed="false">
      <c r="A491" s="202"/>
      <c r="B491" s="29" t="s">
        <v>323</v>
      </c>
      <c r="C491" s="29" t="s">
        <v>324</v>
      </c>
      <c r="D491" s="29" t="s">
        <v>325</v>
      </c>
      <c r="E491" s="202"/>
    </row>
    <row r="492" customFormat="false" ht="15" hidden="false" customHeight="false" outlineLevel="0" collapsed="false">
      <c r="A492" s="264" t="s">
        <v>326</v>
      </c>
      <c r="B492" s="0" t="n">
        <v>2</v>
      </c>
      <c r="C492" s="0" t="n">
        <v>7</v>
      </c>
      <c r="D492" s="0" t="n">
        <v>14</v>
      </c>
      <c r="E492" s="0" t="s">
        <v>327</v>
      </c>
    </row>
    <row r="493" customFormat="false" ht="13.8" hidden="false" customHeight="false" outlineLevel="0" collapsed="false">
      <c r="A493" s="0" t="s">
        <v>328</v>
      </c>
      <c r="B493" s="0" t="n">
        <v>7</v>
      </c>
      <c r="C493" s="0" t="n">
        <v>11</v>
      </c>
      <c r="D493" s="0" t="n">
        <v>16</v>
      </c>
    </row>
    <row r="495" customFormat="false" ht="13.8" hidden="false" customHeight="false" outlineLevel="0" collapsed="false">
      <c r="A495" s="263" t="s">
        <v>329</v>
      </c>
    </row>
    <row r="496" customFormat="false" ht="13.8" hidden="false" customHeight="false" outlineLevel="0" collapsed="false">
      <c r="A496" s="0" t="s">
        <v>330</v>
      </c>
      <c r="B496" s="0" t="n">
        <v>0.05</v>
      </c>
    </row>
    <row r="497" customFormat="false" ht="13.8" hidden="false" customHeight="false" outlineLevel="0" collapsed="false">
      <c r="A497" s="0" t="s">
        <v>331</v>
      </c>
      <c r="B497" s="0" t="n">
        <v>2</v>
      </c>
    </row>
    <row r="498" customFormat="false" ht="13.8" hidden="false" customHeight="false" outlineLevel="0" collapsed="false">
      <c r="A498" s="0" t="s">
        <v>332</v>
      </c>
      <c r="B498" s="0" t="n">
        <v>0.418517821543233</v>
      </c>
    </row>
    <row r="499" customFormat="false" ht="13.8" hidden="false" customHeight="false" outlineLevel="0" collapsed="false">
      <c r="A499" s="0" t="s">
        <v>333</v>
      </c>
      <c r="B499" s="0" t="n">
        <v>1.7420716112532</v>
      </c>
    </row>
    <row r="500" customFormat="false" ht="13.8" hidden="false" customHeight="false" outlineLevel="0" collapsed="false">
      <c r="A500" s="0" t="s">
        <v>334</v>
      </c>
      <c r="B500" s="0" t="n">
        <v>5.99146454710798</v>
      </c>
    </row>
    <row r="502" customFormat="false" ht="13.8" hidden="false" customHeight="false" outlineLevel="0" collapsed="false">
      <c r="A502" s="120" t="s">
        <v>336</v>
      </c>
      <c r="B502" s="120"/>
      <c r="C502" s="120"/>
      <c r="D502" s="120"/>
      <c r="E502" s="120"/>
      <c r="F502" s="120"/>
    </row>
    <row r="503" customFormat="false" ht="13.8" hidden="false" customHeight="false" outlineLevel="0" collapsed="false">
      <c r="A503" s="17" t="s">
        <v>171</v>
      </c>
      <c r="B503" s="18" t="s">
        <v>172</v>
      </c>
      <c r="C503" s="18" t="s">
        <v>173</v>
      </c>
      <c r="D503" s="18" t="s">
        <v>174</v>
      </c>
      <c r="E503" s="18" t="s">
        <v>175</v>
      </c>
      <c r="F503" s="19"/>
    </row>
    <row r="504" customFormat="false" ht="13.8" hidden="false" customHeight="false" outlineLevel="0" collapsed="false">
      <c r="A504" s="0" t="n">
        <v>2</v>
      </c>
      <c r="B504" s="0" t="n">
        <v>0.157658393728093</v>
      </c>
      <c r="C504" s="0" t="n">
        <v>0.0788291968640465</v>
      </c>
      <c r="D504" s="0" t="n">
        <v>0.735334859761559</v>
      </c>
      <c r="E504" s="0" t="n">
        <v>0.484456323226577</v>
      </c>
      <c r="F504" s="0" t="s">
        <v>337</v>
      </c>
    </row>
    <row r="505" customFormat="false" ht="13.8" hidden="false" customHeight="false" outlineLevel="0" collapsed="false">
      <c r="A505" s="0" t="n">
        <v>1</v>
      </c>
      <c r="B505" s="0" t="n">
        <v>0.148366513782152</v>
      </c>
      <c r="C505" s="0" t="n">
        <v>0.148366513782152</v>
      </c>
      <c r="D505" s="0" t="n">
        <v>1.3839931642773</v>
      </c>
      <c r="E505" s="0" t="n">
        <v>0.244992799258121</v>
      </c>
      <c r="F505" s="0" t="s">
        <v>52</v>
      </c>
    </row>
    <row r="506" customFormat="false" ht="13.8" hidden="false" customHeight="false" outlineLevel="0" collapsed="false">
      <c r="A506" s="0" t="n">
        <v>1</v>
      </c>
      <c r="B506" s="0" t="n">
        <v>0.0630060365630224</v>
      </c>
      <c r="C506" s="0" t="n">
        <v>0.0630060365630224</v>
      </c>
      <c r="D506" s="0" t="n">
        <v>0.587733186475388</v>
      </c>
      <c r="E506" s="0" t="n">
        <v>0.446901718005787</v>
      </c>
      <c r="F506" s="235" t="s">
        <v>338</v>
      </c>
    </row>
    <row r="507" customFormat="false" ht="13.8" hidden="false" customHeight="false" outlineLevel="0" collapsed="false">
      <c r="A507" s="0" t="n">
        <v>50</v>
      </c>
      <c r="B507" s="0" t="n">
        <v>5.36008838813978</v>
      </c>
      <c r="C507" s="0" t="n">
        <v>0.107201767762796</v>
      </c>
    </row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0">
    <mergeCell ref="A3:A7"/>
    <mergeCell ref="A11:A13"/>
    <mergeCell ref="A17:A22"/>
    <mergeCell ref="B17:B18"/>
    <mergeCell ref="C17:F17"/>
    <mergeCell ref="A76:A77"/>
    <mergeCell ref="B76:B77"/>
    <mergeCell ref="C76:E76"/>
    <mergeCell ref="F76:H76"/>
    <mergeCell ref="A78:A79"/>
    <mergeCell ref="A80:A81"/>
    <mergeCell ref="A86:A88"/>
    <mergeCell ref="A106:A107"/>
    <mergeCell ref="A119:C119"/>
    <mergeCell ref="D119:F119"/>
    <mergeCell ref="G119:I119"/>
    <mergeCell ref="J119:L119"/>
    <mergeCell ref="M119:O119"/>
    <mergeCell ref="P119:R119"/>
    <mergeCell ref="S119:U119"/>
    <mergeCell ref="B297:D297"/>
    <mergeCell ref="E297:G297"/>
    <mergeCell ref="H297:J297"/>
    <mergeCell ref="B304:B305"/>
    <mergeCell ref="C304:C305"/>
    <mergeCell ref="D304:D305"/>
    <mergeCell ref="E304:E305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A310:A312"/>
    <mergeCell ref="A314:A316"/>
    <mergeCell ref="B314:J314"/>
    <mergeCell ref="B315:D315"/>
    <mergeCell ref="E315:G315"/>
    <mergeCell ref="H315:J315"/>
    <mergeCell ref="A321:A322"/>
    <mergeCell ref="B321:B322"/>
    <mergeCell ref="C321:E321"/>
    <mergeCell ref="F321:H321"/>
    <mergeCell ref="A323:A325"/>
    <mergeCell ref="A326:A328"/>
    <mergeCell ref="B342:E342"/>
    <mergeCell ref="H342:K342"/>
    <mergeCell ref="A343:A410"/>
    <mergeCell ref="G343:G392"/>
    <mergeCell ref="H359:K359"/>
    <mergeCell ref="B365:E365"/>
    <mergeCell ref="H376:K376"/>
    <mergeCell ref="B388:E388"/>
    <mergeCell ref="A459:F459"/>
    <mergeCell ref="A466:E466"/>
    <mergeCell ref="A475:E475"/>
    <mergeCell ref="A489:E489"/>
    <mergeCell ref="A502:F50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P2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14.14"/>
    <col collapsed="false" customWidth="true" hidden="false" outlineLevel="0" max="3" min="3" style="0" width="17.28"/>
    <col collapsed="false" customWidth="true" hidden="false" outlineLevel="0" max="6" min="6" style="0" width="12.28"/>
    <col collapsed="false" customWidth="true" hidden="false" outlineLevel="0" max="7" min="7" style="0" width="31"/>
    <col collapsed="false" customWidth="true" hidden="false" outlineLevel="0" max="10" min="10" style="0" width="13.71"/>
    <col collapsed="false" customWidth="true" hidden="false" outlineLevel="0" max="11" min="11" style="0" width="11.43"/>
    <col collapsed="false" customWidth="true" hidden="false" outlineLevel="0" max="12" min="12" style="0" width="11.57"/>
    <col collapsed="false" customWidth="true" hidden="false" outlineLevel="0" max="13" min="13" style="0" width="14.28"/>
  </cols>
  <sheetData>
    <row r="3" customFormat="false" ht="13.8" hidden="false" customHeight="false" outlineLevel="0" collapsed="false">
      <c r="B3" s="3" t="s">
        <v>85</v>
      </c>
      <c r="C3" s="4" t="s">
        <v>2</v>
      </c>
      <c r="D3" s="3" t="s">
        <v>3</v>
      </c>
      <c r="E3" s="5"/>
      <c r="F3" s="6"/>
      <c r="G3" s="3" t="s">
        <v>5</v>
      </c>
      <c r="H3" s="7"/>
      <c r="I3" s="7"/>
      <c r="J3" s="7"/>
      <c r="K3" s="7"/>
      <c r="L3" s="7"/>
      <c r="M3" s="7"/>
      <c r="N3" s="7"/>
      <c r="O3" s="7"/>
      <c r="P3" s="8"/>
    </row>
    <row r="4" customFormat="false" ht="13.8" hidden="false" customHeight="false" outlineLevel="0" collapsed="false">
      <c r="B4" s="9"/>
      <c r="C4" s="10"/>
      <c r="D4" s="11" t="s">
        <v>9</v>
      </c>
      <c r="E4" s="12" t="s">
        <v>10</v>
      </c>
      <c r="F4" s="13" t="s">
        <v>11</v>
      </c>
      <c r="G4" s="9"/>
      <c r="H4" s="14"/>
      <c r="I4" s="14"/>
      <c r="J4" s="265"/>
      <c r="K4" s="265"/>
      <c r="L4" s="265"/>
      <c r="M4" s="265"/>
      <c r="N4" s="265"/>
      <c r="O4" s="265"/>
      <c r="P4" s="266"/>
    </row>
    <row r="5" customFormat="false" ht="14.9" hidden="false" customHeight="false" outlineLevel="0" collapsed="false">
      <c r="B5" s="20" t="s">
        <v>150</v>
      </c>
      <c r="C5" s="21" t="s">
        <v>18</v>
      </c>
      <c r="D5" s="267" t="n">
        <v>24.04</v>
      </c>
      <c r="E5" s="268" t="n">
        <v>4.265</v>
      </c>
      <c r="F5" s="28" t="n">
        <v>45</v>
      </c>
      <c r="I5" s="269" t="s">
        <v>19</v>
      </c>
      <c r="J5" s="67" t="s">
        <v>20</v>
      </c>
      <c r="K5" s="270" t="s">
        <v>21</v>
      </c>
      <c r="L5" s="270" t="s">
        <v>22</v>
      </c>
      <c r="M5" s="270" t="s">
        <v>23</v>
      </c>
      <c r="N5" s="270" t="s">
        <v>24</v>
      </c>
      <c r="O5" s="270" t="s">
        <v>25</v>
      </c>
      <c r="P5" s="271" t="s">
        <v>26</v>
      </c>
    </row>
    <row r="6" customFormat="false" ht="13.8" hidden="false" customHeight="false" outlineLevel="0" collapsed="false">
      <c r="B6" s="35" t="s">
        <v>28</v>
      </c>
      <c r="C6" s="21" t="s">
        <v>29</v>
      </c>
      <c r="D6" s="36" t="n">
        <v>15.61</v>
      </c>
      <c r="E6" s="37" t="n">
        <v>3.701</v>
      </c>
      <c r="F6" s="28" t="n">
        <v>18</v>
      </c>
      <c r="G6" s="29" t="s">
        <v>30</v>
      </c>
      <c r="H6" s="29" t="s">
        <v>31</v>
      </c>
      <c r="I6" s="272" t="s">
        <v>339</v>
      </c>
      <c r="J6" s="78" t="n">
        <v>29.12</v>
      </c>
      <c r="K6" s="29"/>
      <c r="L6" s="29"/>
      <c r="M6" s="29"/>
      <c r="N6" s="29"/>
      <c r="O6" s="29"/>
      <c r="P6" s="104"/>
    </row>
    <row r="7" customFormat="false" ht="13.8" hidden="false" customHeight="false" outlineLevel="0" collapsed="false">
      <c r="B7" s="35"/>
      <c r="C7" s="21" t="s">
        <v>32</v>
      </c>
      <c r="D7" s="36" t="n">
        <v>21.74</v>
      </c>
      <c r="E7" s="37" t="n">
        <v>3.693</v>
      </c>
      <c r="F7" s="28" t="n">
        <v>27</v>
      </c>
      <c r="G7" s="29" t="s">
        <v>33</v>
      </c>
      <c r="H7" s="29" t="s">
        <v>34</v>
      </c>
      <c r="I7" s="41" t="n">
        <v>0.5874</v>
      </c>
      <c r="J7" s="78"/>
      <c r="K7" s="273" t="n">
        <v>85.34</v>
      </c>
      <c r="L7" s="273" t="n">
        <v>67.92</v>
      </c>
      <c r="M7" s="273" t="n">
        <v>17.43</v>
      </c>
      <c r="N7" s="273" t="n">
        <v>45</v>
      </c>
      <c r="O7" s="273" t="n">
        <v>18</v>
      </c>
      <c r="P7" s="274" t="n">
        <v>1.565</v>
      </c>
    </row>
    <row r="8" customFormat="false" ht="13.8" hidden="false" customHeight="false" outlineLevel="0" collapsed="false">
      <c r="B8" s="35"/>
      <c r="C8" s="21" t="s">
        <v>36</v>
      </c>
      <c r="D8" s="36" t="n">
        <v>11.82</v>
      </c>
      <c r="E8" s="37" t="n">
        <v>3.373</v>
      </c>
      <c r="F8" s="28" t="n">
        <v>22</v>
      </c>
      <c r="G8" s="29"/>
      <c r="H8" s="29" t="s">
        <v>37</v>
      </c>
      <c r="I8" s="41" t="n">
        <v>0.8302</v>
      </c>
      <c r="J8" s="78"/>
      <c r="K8" s="273" t="n">
        <v>67.92</v>
      </c>
      <c r="L8" s="273" t="n">
        <v>84.74</v>
      </c>
      <c r="M8" s="273" t="n">
        <v>-16.82</v>
      </c>
      <c r="N8" s="273" t="n">
        <v>18</v>
      </c>
      <c r="O8" s="273" t="n">
        <v>27</v>
      </c>
      <c r="P8" s="274" t="n">
        <v>1.385</v>
      </c>
    </row>
    <row r="9" customFormat="false" ht="13.8" hidden="false" customHeight="false" outlineLevel="0" collapsed="false">
      <c r="B9" s="35"/>
      <c r="C9" s="21" t="s">
        <v>38</v>
      </c>
      <c r="D9" s="36" t="s">
        <v>340</v>
      </c>
      <c r="E9" s="37" t="s">
        <v>340</v>
      </c>
      <c r="F9" s="28" t="n">
        <v>0</v>
      </c>
      <c r="G9" s="29"/>
      <c r="H9" s="29" t="s">
        <v>39</v>
      </c>
      <c r="I9" s="272" t="n">
        <v>0.0538</v>
      </c>
      <c r="J9" s="78"/>
      <c r="K9" s="273" t="n">
        <v>84.74</v>
      </c>
      <c r="L9" s="273" t="n">
        <v>55.5</v>
      </c>
      <c r="M9" s="273" t="n">
        <v>29.24</v>
      </c>
      <c r="N9" s="273" t="n">
        <v>27</v>
      </c>
      <c r="O9" s="273" t="n">
        <v>22</v>
      </c>
      <c r="P9" s="274" t="n">
        <v>2.55</v>
      </c>
    </row>
    <row r="10" customFormat="false" ht="13.8" hidden="false" customHeight="false" outlineLevel="0" collapsed="false">
      <c r="B10" s="35"/>
      <c r="C10" s="21" t="s">
        <v>40</v>
      </c>
      <c r="D10" s="36" t="n">
        <v>7.733</v>
      </c>
      <c r="E10" s="37" t="n">
        <v>2.214</v>
      </c>
      <c r="F10" s="28" t="n">
        <v>15</v>
      </c>
      <c r="G10" s="29"/>
      <c r="H10" s="29" t="s">
        <v>41</v>
      </c>
      <c r="I10" s="177" t="s">
        <v>340</v>
      </c>
      <c r="J10" s="78"/>
      <c r="K10" s="273" t="s">
        <v>340</v>
      </c>
      <c r="L10" s="273" t="s">
        <v>340</v>
      </c>
      <c r="M10" s="273" t="s">
        <v>340</v>
      </c>
      <c r="N10" s="273" t="s">
        <v>340</v>
      </c>
      <c r="O10" s="273" t="s">
        <v>340</v>
      </c>
      <c r="P10" s="274" t="s">
        <v>340</v>
      </c>
    </row>
    <row r="11" customFormat="false" ht="13.8" hidden="false" customHeight="false" outlineLevel="0" collapsed="false">
      <c r="B11" s="35"/>
      <c r="C11" s="21" t="s">
        <v>42</v>
      </c>
      <c r="D11" s="36" t="n">
        <v>4.636</v>
      </c>
      <c r="E11" s="37" t="n">
        <v>0.766</v>
      </c>
      <c r="F11" s="28" t="n">
        <v>11</v>
      </c>
      <c r="G11" s="29"/>
      <c r="H11" s="29" t="s">
        <v>43</v>
      </c>
      <c r="I11" s="177" t="s">
        <v>340</v>
      </c>
      <c r="J11" s="78"/>
      <c r="K11" s="273" t="s">
        <v>340</v>
      </c>
      <c r="L11" s="273" t="s">
        <v>340</v>
      </c>
      <c r="M11" s="273" t="s">
        <v>340</v>
      </c>
      <c r="N11" s="273" t="s">
        <v>340</v>
      </c>
      <c r="O11" s="273" t="s">
        <v>340</v>
      </c>
      <c r="P11" s="274" t="s">
        <v>340</v>
      </c>
    </row>
    <row r="12" customFormat="false" ht="13.8" hidden="false" customHeight="false" outlineLevel="0" collapsed="false">
      <c r="B12" s="45"/>
      <c r="C12" s="53"/>
      <c r="D12" s="54"/>
      <c r="E12" s="55"/>
      <c r="F12" s="250"/>
      <c r="G12" s="76"/>
      <c r="H12" s="46" t="s">
        <v>44</v>
      </c>
      <c r="I12" s="77" t="s">
        <v>35</v>
      </c>
      <c r="J12" s="79"/>
      <c r="K12" s="275" t="n">
        <v>43.27</v>
      </c>
      <c r="L12" s="275" t="n">
        <v>33.64</v>
      </c>
      <c r="M12" s="275" t="n">
        <v>9.63</v>
      </c>
      <c r="N12" s="275" t="n">
        <v>15</v>
      </c>
      <c r="O12" s="275" t="n">
        <v>11</v>
      </c>
      <c r="P12" s="276" t="n">
        <v>0.6077</v>
      </c>
    </row>
    <row r="13" customFormat="false" ht="14.9" hidden="false" customHeight="false" outlineLevel="0" collapsed="false">
      <c r="B13" s="20" t="s">
        <v>149</v>
      </c>
      <c r="C13" s="21" t="s">
        <v>18</v>
      </c>
      <c r="D13" s="267" t="n">
        <v>26.42</v>
      </c>
      <c r="E13" s="268" t="n">
        <v>4.746</v>
      </c>
      <c r="F13" s="28" t="n">
        <v>38</v>
      </c>
      <c r="H13" s="235"/>
      <c r="I13" s="269" t="s">
        <v>19</v>
      </c>
      <c r="J13" s="277" t="s">
        <v>20</v>
      </c>
      <c r="K13" s="278" t="s">
        <v>21</v>
      </c>
      <c r="L13" s="278" t="s">
        <v>22</v>
      </c>
      <c r="M13" s="278" t="s">
        <v>23</v>
      </c>
      <c r="N13" s="278" t="s">
        <v>24</v>
      </c>
      <c r="O13" s="278" t="s">
        <v>25</v>
      </c>
      <c r="P13" s="279" t="s">
        <v>26</v>
      </c>
    </row>
    <row r="14" customFormat="false" ht="13.8" hidden="false" customHeight="false" outlineLevel="0" collapsed="false">
      <c r="B14" s="35" t="s">
        <v>28</v>
      </c>
      <c r="C14" s="21" t="s">
        <v>29</v>
      </c>
      <c r="D14" s="36" t="n">
        <v>28.32</v>
      </c>
      <c r="E14" s="37" t="n">
        <v>6.766</v>
      </c>
      <c r="F14" s="28" t="n">
        <v>28</v>
      </c>
      <c r="G14" s="29" t="s">
        <v>30</v>
      </c>
      <c r="H14" s="29" t="s">
        <v>31</v>
      </c>
      <c r="I14" s="272" t="s">
        <v>339</v>
      </c>
      <c r="J14" s="280" t="n">
        <v>35.08</v>
      </c>
      <c r="K14" s="29"/>
      <c r="L14" s="29"/>
      <c r="M14" s="29"/>
      <c r="N14" s="29"/>
      <c r="O14" s="29"/>
      <c r="P14" s="104"/>
    </row>
    <row r="15" customFormat="false" ht="13.8" hidden="false" customHeight="false" outlineLevel="0" collapsed="false">
      <c r="B15" s="35"/>
      <c r="C15" s="21" t="s">
        <v>32</v>
      </c>
      <c r="D15" s="36" t="n">
        <v>23.09</v>
      </c>
      <c r="E15" s="37" t="n">
        <v>4.255</v>
      </c>
      <c r="F15" s="28" t="n">
        <v>34</v>
      </c>
      <c r="G15" s="29" t="s">
        <v>33</v>
      </c>
      <c r="H15" s="29" t="s">
        <v>34</v>
      </c>
      <c r="I15" s="41" t="s">
        <v>35</v>
      </c>
      <c r="J15" s="78"/>
      <c r="K15" s="281" t="n">
        <v>128.9</v>
      </c>
      <c r="L15" s="281" t="n">
        <v>139.7</v>
      </c>
      <c r="M15" s="281" t="n">
        <v>-10.82</v>
      </c>
      <c r="N15" s="281" t="n">
        <v>38</v>
      </c>
      <c r="O15" s="281" t="n">
        <v>28</v>
      </c>
      <c r="P15" s="74" t="n">
        <v>0.6843</v>
      </c>
    </row>
    <row r="16" customFormat="false" ht="13.8" hidden="false" customHeight="false" outlineLevel="0" collapsed="false">
      <c r="B16" s="35"/>
      <c r="C16" s="21" t="s">
        <v>36</v>
      </c>
      <c r="D16" s="36" t="n">
        <v>16.61</v>
      </c>
      <c r="E16" s="37" t="n">
        <v>3.347</v>
      </c>
      <c r="F16" s="28" t="n">
        <v>28</v>
      </c>
      <c r="G16" s="29"/>
      <c r="H16" s="29" t="s">
        <v>37</v>
      </c>
      <c r="I16" s="41" t="s">
        <v>35</v>
      </c>
      <c r="J16" s="78"/>
      <c r="K16" s="281" t="n">
        <v>139.7</v>
      </c>
      <c r="L16" s="281" t="n">
        <v>137.4</v>
      </c>
      <c r="M16" s="281" t="n">
        <v>2.273</v>
      </c>
      <c r="N16" s="281" t="n">
        <v>28</v>
      </c>
      <c r="O16" s="281" t="n">
        <v>34</v>
      </c>
      <c r="P16" s="74" t="n">
        <v>0.1403</v>
      </c>
    </row>
    <row r="17" customFormat="false" ht="13.8" hidden="false" customHeight="false" outlineLevel="0" collapsed="false">
      <c r="B17" s="35"/>
      <c r="C17" s="21" t="s">
        <v>38</v>
      </c>
      <c r="D17" s="36" t="n">
        <v>10.28</v>
      </c>
      <c r="E17" s="37" t="n">
        <v>2.174</v>
      </c>
      <c r="F17" s="28" t="n">
        <v>32</v>
      </c>
      <c r="G17" s="29"/>
      <c r="H17" s="29" t="s">
        <v>39</v>
      </c>
      <c r="I17" s="272" t="n">
        <v>0.9176</v>
      </c>
      <c r="J17" s="78"/>
      <c r="K17" s="281" t="n">
        <v>137.4</v>
      </c>
      <c r="L17" s="281" t="n">
        <v>114.3</v>
      </c>
      <c r="M17" s="281" t="n">
        <v>23.16</v>
      </c>
      <c r="N17" s="281" t="n">
        <v>34</v>
      </c>
      <c r="O17" s="281" t="n">
        <v>28</v>
      </c>
      <c r="P17" s="74" t="n">
        <v>1.429</v>
      </c>
    </row>
    <row r="18" customFormat="false" ht="13.8" hidden="false" customHeight="false" outlineLevel="0" collapsed="false">
      <c r="B18" s="35"/>
      <c r="C18" s="21" t="s">
        <v>40</v>
      </c>
      <c r="D18" s="36" t="n">
        <v>7.205</v>
      </c>
      <c r="E18" s="37" t="n">
        <v>1.023</v>
      </c>
      <c r="F18" s="28" t="n">
        <v>39</v>
      </c>
      <c r="G18" s="29"/>
      <c r="H18" s="29" t="s">
        <v>41</v>
      </c>
      <c r="I18" s="41" t="s">
        <v>35</v>
      </c>
      <c r="J18" s="78"/>
      <c r="K18" s="281" t="n">
        <v>114.3</v>
      </c>
      <c r="L18" s="281" t="n">
        <v>93.95</v>
      </c>
      <c r="M18" s="281" t="n">
        <v>20.33</v>
      </c>
      <c r="N18" s="281" t="n">
        <v>28</v>
      </c>
      <c r="O18" s="281" t="n">
        <v>32</v>
      </c>
      <c r="P18" s="74" t="n">
        <v>1.238</v>
      </c>
    </row>
    <row r="19" customFormat="false" ht="13.8" hidden="false" customHeight="false" outlineLevel="0" collapsed="false">
      <c r="B19" s="35"/>
      <c r="C19" s="21" t="s">
        <v>42</v>
      </c>
      <c r="D19" s="36" t="n">
        <v>5.048</v>
      </c>
      <c r="E19" s="37" t="n">
        <v>0.7699</v>
      </c>
      <c r="F19" s="28" t="n">
        <v>21</v>
      </c>
      <c r="G19" s="29"/>
      <c r="H19" s="29" t="s">
        <v>43</v>
      </c>
      <c r="I19" s="41" t="s">
        <v>35</v>
      </c>
      <c r="J19" s="78"/>
      <c r="K19" s="281" t="n">
        <v>93.95</v>
      </c>
      <c r="L19" s="281" t="n">
        <v>82.62</v>
      </c>
      <c r="M19" s="281" t="n">
        <v>11.34</v>
      </c>
      <c r="N19" s="281" t="n">
        <v>32</v>
      </c>
      <c r="O19" s="281" t="n">
        <v>39</v>
      </c>
      <c r="P19" s="74" t="n">
        <v>0.7487</v>
      </c>
    </row>
    <row r="20" customFormat="false" ht="13.8" hidden="false" customHeight="false" outlineLevel="0" collapsed="false">
      <c r="B20" s="45"/>
      <c r="C20" s="53"/>
      <c r="D20" s="54"/>
      <c r="E20" s="55"/>
      <c r="F20" s="250"/>
      <c r="G20" s="46"/>
      <c r="H20" s="46" t="s">
        <v>44</v>
      </c>
      <c r="I20" s="57" t="s">
        <v>35</v>
      </c>
      <c r="J20" s="79"/>
      <c r="K20" s="282" t="n">
        <v>82.62</v>
      </c>
      <c r="L20" s="282" t="n">
        <v>66.6</v>
      </c>
      <c r="M20" s="282" t="n">
        <v>16.02</v>
      </c>
      <c r="N20" s="282" t="n">
        <v>39</v>
      </c>
      <c r="O20" s="282" t="n">
        <v>21</v>
      </c>
      <c r="P20" s="57" t="n">
        <v>0.9323</v>
      </c>
    </row>
    <row r="21" customFormat="false" ht="14.9" hidden="false" customHeight="false" outlineLevel="0" collapsed="false">
      <c r="B21" s="20" t="s">
        <v>151</v>
      </c>
      <c r="C21" s="21" t="s">
        <v>18</v>
      </c>
      <c r="D21" s="267" t="n">
        <v>28.65</v>
      </c>
      <c r="E21" s="268" t="n">
        <v>6.177</v>
      </c>
      <c r="F21" s="28" t="n">
        <v>26</v>
      </c>
      <c r="H21" s="235"/>
      <c r="I21" s="269" t="s">
        <v>19</v>
      </c>
      <c r="J21" s="67" t="s">
        <v>20</v>
      </c>
      <c r="K21" s="270" t="s">
        <v>21</v>
      </c>
      <c r="L21" s="270" t="s">
        <v>22</v>
      </c>
      <c r="M21" s="270" t="s">
        <v>23</v>
      </c>
      <c r="N21" s="270" t="s">
        <v>24</v>
      </c>
      <c r="O21" s="270" t="s">
        <v>25</v>
      </c>
      <c r="P21" s="271" t="s">
        <v>26</v>
      </c>
    </row>
    <row r="22" customFormat="false" ht="13.8" hidden="false" customHeight="false" outlineLevel="0" collapsed="false">
      <c r="B22" s="35" t="s">
        <v>28</v>
      </c>
      <c r="C22" s="21" t="s">
        <v>29</v>
      </c>
      <c r="D22" s="36" t="s">
        <v>340</v>
      </c>
      <c r="E22" s="37" t="s">
        <v>340</v>
      </c>
      <c r="F22" s="28" t="n">
        <v>0</v>
      </c>
      <c r="G22" s="29" t="s">
        <v>30</v>
      </c>
      <c r="H22" s="29" t="s">
        <v>31</v>
      </c>
      <c r="I22" s="272" t="s">
        <v>339</v>
      </c>
      <c r="J22" s="78" t="n">
        <v>24.32</v>
      </c>
      <c r="K22" s="29"/>
      <c r="L22" s="29"/>
      <c r="M22" s="29"/>
      <c r="N22" s="29"/>
      <c r="O22" s="29"/>
      <c r="P22" s="104"/>
    </row>
    <row r="23" customFormat="false" ht="13.8" hidden="false" customHeight="false" outlineLevel="0" collapsed="false">
      <c r="B23" s="35"/>
      <c r="C23" s="21" t="s">
        <v>32</v>
      </c>
      <c r="D23" s="36" t="n">
        <v>24.56</v>
      </c>
      <c r="E23" s="37" t="n">
        <v>4.342</v>
      </c>
      <c r="F23" s="28" t="n">
        <v>32</v>
      </c>
      <c r="G23" s="29" t="s">
        <v>33</v>
      </c>
      <c r="H23" s="29" t="s">
        <v>34</v>
      </c>
      <c r="I23" s="177" t="s">
        <v>340</v>
      </c>
      <c r="J23" s="78"/>
      <c r="K23" s="273" t="s">
        <v>340</v>
      </c>
      <c r="L23" s="273" t="s">
        <v>340</v>
      </c>
      <c r="M23" s="273" t="s">
        <v>340</v>
      </c>
      <c r="N23" s="273" t="s">
        <v>340</v>
      </c>
      <c r="O23" s="273" t="s">
        <v>340</v>
      </c>
      <c r="P23" s="274" t="s">
        <v>340</v>
      </c>
    </row>
    <row r="24" customFormat="false" ht="13.8" hidden="false" customHeight="false" outlineLevel="0" collapsed="false">
      <c r="B24" s="35"/>
      <c r="C24" s="21" t="s">
        <v>36</v>
      </c>
      <c r="D24" s="36" t="s">
        <v>340</v>
      </c>
      <c r="E24" s="37" t="s">
        <v>340</v>
      </c>
      <c r="F24" s="28" t="n">
        <v>0</v>
      </c>
      <c r="G24" s="29"/>
      <c r="H24" s="29" t="s">
        <v>37</v>
      </c>
      <c r="I24" s="177" t="s">
        <v>340</v>
      </c>
      <c r="J24" s="78"/>
      <c r="K24" s="273" t="s">
        <v>340</v>
      </c>
      <c r="L24" s="273" t="s">
        <v>340</v>
      </c>
      <c r="M24" s="273" t="s">
        <v>340</v>
      </c>
      <c r="N24" s="273" t="s">
        <v>340</v>
      </c>
      <c r="O24" s="273" t="s">
        <v>340</v>
      </c>
      <c r="P24" s="274" t="s">
        <v>340</v>
      </c>
    </row>
    <row r="25" customFormat="false" ht="13.8" hidden="false" customHeight="false" outlineLevel="0" collapsed="false">
      <c r="B25" s="35"/>
      <c r="C25" s="21" t="s">
        <v>38</v>
      </c>
      <c r="D25" s="36" t="n">
        <v>11.24</v>
      </c>
      <c r="E25" s="37" t="n">
        <v>1.906</v>
      </c>
      <c r="F25" s="28" t="n">
        <v>29</v>
      </c>
      <c r="G25" s="29"/>
      <c r="H25" s="29" t="s">
        <v>39</v>
      </c>
      <c r="I25" s="177" t="s">
        <v>340</v>
      </c>
      <c r="J25" s="78"/>
      <c r="K25" s="273" t="s">
        <v>340</v>
      </c>
      <c r="L25" s="273" t="s">
        <v>340</v>
      </c>
      <c r="M25" s="273" t="s">
        <v>340</v>
      </c>
      <c r="N25" s="273" t="s">
        <v>340</v>
      </c>
      <c r="O25" s="273" t="s">
        <v>340</v>
      </c>
      <c r="P25" s="274" t="s">
        <v>340</v>
      </c>
    </row>
    <row r="26" customFormat="false" ht="13.8" hidden="false" customHeight="false" outlineLevel="0" collapsed="false">
      <c r="B26" s="35"/>
      <c r="C26" s="21" t="s">
        <v>40</v>
      </c>
      <c r="D26" s="36" t="n">
        <v>7.429</v>
      </c>
      <c r="E26" s="37" t="n">
        <v>1.199</v>
      </c>
      <c r="F26" s="28" t="n">
        <v>14</v>
      </c>
      <c r="G26" s="29"/>
      <c r="H26" s="29" t="s">
        <v>41</v>
      </c>
      <c r="I26" s="177" t="s">
        <v>340</v>
      </c>
      <c r="J26" s="78"/>
      <c r="K26" s="273" t="s">
        <v>340</v>
      </c>
      <c r="L26" s="273" t="s">
        <v>340</v>
      </c>
      <c r="M26" s="273" t="s">
        <v>340</v>
      </c>
      <c r="N26" s="273" t="s">
        <v>340</v>
      </c>
      <c r="O26" s="273" t="s">
        <v>340</v>
      </c>
      <c r="P26" s="274" t="s">
        <v>340</v>
      </c>
    </row>
    <row r="27" customFormat="false" ht="13.8" hidden="false" customHeight="false" outlineLevel="0" collapsed="false">
      <c r="B27" s="35"/>
      <c r="C27" s="21" t="s">
        <v>42</v>
      </c>
      <c r="D27" s="36" t="n">
        <v>3.625</v>
      </c>
      <c r="E27" s="37" t="n">
        <v>0.565</v>
      </c>
      <c r="F27" s="28" t="n">
        <v>8</v>
      </c>
      <c r="G27" s="29"/>
      <c r="H27" s="29" t="s">
        <v>43</v>
      </c>
      <c r="I27" s="41" t="n">
        <v>0.8647</v>
      </c>
      <c r="J27" s="78"/>
      <c r="K27" s="273" t="n">
        <v>47.67</v>
      </c>
      <c r="L27" s="273" t="n">
        <v>39.61</v>
      </c>
      <c r="M27" s="273" t="n">
        <v>8.065</v>
      </c>
      <c r="N27" s="273" t="n">
        <v>29</v>
      </c>
      <c r="O27" s="273" t="n">
        <v>14</v>
      </c>
      <c r="P27" s="274" t="n">
        <v>0.7852</v>
      </c>
    </row>
    <row r="28" customFormat="false" ht="13.8" hidden="false" customHeight="false" outlineLevel="0" collapsed="false">
      <c r="B28" s="45"/>
      <c r="C28" s="53"/>
      <c r="D28" s="54"/>
      <c r="E28" s="55"/>
      <c r="F28" s="250"/>
      <c r="G28" s="46"/>
      <c r="H28" s="46" t="s">
        <v>44</v>
      </c>
      <c r="I28" s="57" t="n">
        <v>0.2743</v>
      </c>
      <c r="J28" s="79"/>
      <c r="K28" s="275" t="n">
        <v>39.61</v>
      </c>
      <c r="L28" s="275" t="n">
        <v>18.81</v>
      </c>
      <c r="M28" s="275" t="n">
        <v>20.79</v>
      </c>
      <c r="N28" s="275" t="n">
        <v>14</v>
      </c>
      <c r="O28" s="275" t="n">
        <v>8</v>
      </c>
      <c r="P28" s="276" t="n">
        <v>1.486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31"/>
  <sheetViews>
    <sheetView showFormulas="false" showGridLines="true" showRowColHeaders="true" showZeros="true" rightToLeft="false" tabSelected="false" showOutlineSymbols="true" defaultGridColor="true" view="normal" topLeftCell="A16" colorId="64" zoomScale="130" zoomScaleNormal="130" zoomScalePageLayoutView="100" workbookViewId="0">
      <selection pane="topLeft" activeCell="F24" activeCellId="0" sqref="F24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12.89"/>
    <col collapsed="false" customWidth="true" hidden="false" outlineLevel="0" max="6" min="6" style="0" width="10.94"/>
  </cols>
  <sheetData>
    <row r="2" s="2" customFormat="true" ht="13.8" hidden="false" customHeight="false" outlineLevel="0" collapsed="false">
      <c r="A2" s="1" t="s">
        <v>341</v>
      </c>
      <c r="AMJ2" s="0"/>
    </row>
    <row r="4" customFormat="false" ht="13.8" hidden="false" customHeight="false" outlineLevel="0" collapsed="false">
      <c r="A4" s="4" t="s">
        <v>1</v>
      </c>
      <c r="B4" s="4" t="s">
        <v>52</v>
      </c>
      <c r="C4" s="3" t="s">
        <v>9</v>
      </c>
      <c r="D4" s="5" t="s">
        <v>289</v>
      </c>
      <c r="E4" s="3" t="s">
        <v>291</v>
      </c>
      <c r="F4" s="257"/>
    </row>
    <row r="5" customFormat="false" ht="13.8" hidden="false" customHeight="false" outlineLevel="0" collapsed="false">
      <c r="A5" s="16"/>
      <c r="B5" s="16"/>
      <c r="C5" s="11"/>
      <c r="D5" s="12"/>
      <c r="E5" s="17"/>
      <c r="F5" s="245"/>
    </row>
    <row r="6" customFormat="false" ht="14.9" hidden="false" customHeight="false" outlineLevel="0" collapsed="false">
      <c r="A6" s="29" t="s">
        <v>17</v>
      </c>
      <c r="B6" s="29" t="s">
        <v>48</v>
      </c>
      <c r="C6" s="283" t="n">
        <v>56.2</v>
      </c>
      <c r="D6" s="70" t="n">
        <v>58.8</v>
      </c>
      <c r="E6" s="81" t="n">
        <v>109</v>
      </c>
    </row>
    <row r="7" customFormat="false" ht="13.8" hidden="false" customHeight="false" outlineLevel="0" collapsed="false">
      <c r="A7" s="39"/>
      <c r="B7" s="39" t="s">
        <v>50</v>
      </c>
      <c r="C7" s="81" t="n">
        <v>58.2</v>
      </c>
      <c r="D7" s="81" t="n">
        <v>58.9</v>
      </c>
      <c r="E7" s="81" t="n">
        <v>86</v>
      </c>
    </row>
    <row r="8" customFormat="false" ht="13.8" hidden="false" customHeight="false" outlineLevel="0" collapsed="false">
      <c r="A8" s="29" t="s">
        <v>45</v>
      </c>
      <c r="B8" s="29" t="s">
        <v>309</v>
      </c>
      <c r="C8" s="284" t="n">
        <v>58.2264933538212</v>
      </c>
      <c r="D8" s="284" t="n">
        <v>58.8646997816889</v>
      </c>
      <c r="E8" s="177" t="n">
        <v>46</v>
      </c>
    </row>
    <row r="9" customFormat="false" ht="13.8" hidden="false" customHeight="false" outlineLevel="0" collapsed="false">
      <c r="A9" s="39"/>
      <c r="B9" s="39" t="s">
        <v>310</v>
      </c>
      <c r="C9" s="284" t="n">
        <v>58.371607037993</v>
      </c>
      <c r="D9" s="284" t="n">
        <v>59.2715473259109</v>
      </c>
      <c r="E9" s="177" t="n">
        <v>26</v>
      </c>
    </row>
    <row r="10" customFormat="false" ht="13.8" hidden="false" customHeight="false" outlineLevel="0" collapsed="false">
      <c r="B10" s="0" t="s">
        <v>311</v>
      </c>
      <c r="C10" s="284" t="n">
        <v>57.7120289086001</v>
      </c>
      <c r="D10" s="284" t="n">
        <v>58.6139598632138</v>
      </c>
      <c r="E10" s="177" t="n">
        <v>14</v>
      </c>
    </row>
    <row r="12" customFormat="false" ht="13.8" hidden="false" customHeight="false" outlineLevel="0" collapsed="false">
      <c r="A12" s="120" t="s">
        <v>342</v>
      </c>
      <c r="B12" s="120"/>
      <c r="C12" s="120"/>
      <c r="D12" s="120"/>
      <c r="E12" s="120"/>
      <c r="F12" s="120"/>
    </row>
    <row r="13" customFormat="false" ht="13.8" hidden="false" customHeight="false" outlineLevel="0" collapsed="false">
      <c r="A13" s="17"/>
      <c r="B13" s="18"/>
      <c r="C13" s="18"/>
      <c r="D13" s="18"/>
      <c r="E13" s="18"/>
      <c r="F13" s="19"/>
    </row>
    <row r="14" customFormat="false" ht="13.8" hidden="false" customHeight="true" outlineLevel="0" collapsed="false">
      <c r="A14" s="285" t="s">
        <v>343</v>
      </c>
      <c r="B14" s="285"/>
      <c r="C14" s="285"/>
      <c r="D14" s="285"/>
      <c r="E14" s="285"/>
      <c r="F14" s="285"/>
    </row>
    <row r="15" customFormat="false" ht="13.8" hidden="false" customHeight="true" outlineLevel="0" collapsed="false">
      <c r="A15" s="285" t="s">
        <v>344</v>
      </c>
      <c r="B15" s="285"/>
      <c r="C15" s="285"/>
      <c r="D15" s="285"/>
      <c r="E15" s="285"/>
      <c r="F15" s="285"/>
    </row>
    <row r="16" customFormat="false" ht="13.8" hidden="false" customHeight="true" outlineLevel="0" collapsed="false">
      <c r="A16" s="285" t="s">
        <v>345</v>
      </c>
      <c r="B16" s="285"/>
      <c r="C16" s="285"/>
      <c r="D16" s="285"/>
      <c r="E16" s="285"/>
      <c r="F16" s="285"/>
    </row>
    <row r="17" customFormat="false" ht="13.8" hidden="false" customHeight="false" outlineLevel="0" collapsed="false">
      <c r="A17" s="286" t="n">
        <v>-3.3688052</v>
      </c>
      <c r="B17" s="287" t="n">
        <v>-0.6245023</v>
      </c>
      <c r="C17" s="287"/>
      <c r="D17" s="287"/>
      <c r="E17" s="287"/>
      <c r="F17" s="287"/>
    </row>
    <row r="18" customFormat="false" ht="13.8" hidden="false" customHeight="true" outlineLevel="0" collapsed="false">
      <c r="A18" s="285" t="s">
        <v>346</v>
      </c>
      <c r="B18" s="285"/>
      <c r="C18" s="285"/>
      <c r="D18" s="285"/>
      <c r="E18" s="285"/>
      <c r="F18" s="287"/>
    </row>
    <row r="19" customFormat="false" ht="13.8" hidden="false" customHeight="false" outlineLevel="0" collapsed="false">
      <c r="A19" s="286" t="s">
        <v>347</v>
      </c>
      <c r="B19" s="287" t="s">
        <v>348</v>
      </c>
      <c r="C19" s="287"/>
      <c r="D19" s="287"/>
      <c r="E19" s="287"/>
      <c r="F19" s="287"/>
    </row>
    <row r="20" customFormat="false" ht="13.8" hidden="false" customHeight="false" outlineLevel="0" collapsed="false">
      <c r="A20" s="286" t="n">
        <v>56.18996</v>
      </c>
      <c r="B20" s="287" t="n">
        <v>58.18661</v>
      </c>
      <c r="C20" s="287"/>
      <c r="D20" s="287"/>
      <c r="E20" s="287"/>
      <c r="F20" s="287"/>
    </row>
    <row r="22" customFormat="false" ht="13.8" hidden="false" customHeight="false" outlineLevel="0" collapsed="false">
      <c r="A22" s="120" t="s">
        <v>349</v>
      </c>
      <c r="B22" s="120"/>
      <c r="C22" s="120"/>
      <c r="D22" s="120"/>
      <c r="E22" s="120"/>
      <c r="F22" s="120"/>
    </row>
    <row r="23" customFormat="false" ht="13.8" hidden="false" customHeight="false" outlineLevel="0" collapsed="false">
      <c r="A23" s="17" t="s">
        <v>171</v>
      </c>
      <c r="B23" s="18" t="s">
        <v>172</v>
      </c>
      <c r="C23" s="18" t="s">
        <v>173</v>
      </c>
      <c r="D23" s="18" t="s">
        <v>174</v>
      </c>
      <c r="E23" s="18" t="s">
        <v>175</v>
      </c>
      <c r="F23" s="19"/>
    </row>
    <row r="24" customFormat="false" ht="13.8" hidden="false" customHeight="false" outlineLevel="0" collapsed="false">
      <c r="A24" s="0" t="n">
        <v>2</v>
      </c>
      <c r="B24" s="0" t="n">
        <v>4.11617384400373</v>
      </c>
      <c r="C24" s="0" t="n">
        <v>2.05808692200187</v>
      </c>
      <c r="D24" s="0" t="n">
        <v>0.131808784610536</v>
      </c>
      <c r="E24" s="0" t="n">
        <v>0.876691683279403</v>
      </c>
      <c r="F24" s="0" t="s">
        <v>350</v>
      </c>
    </row>
    <row r="25" customFormat="false" ht="13.8" hidden="false" customHeight="false" outlineLevel="0" collapsed="false">
      <c r="A25" s="0" t="n">
        <v>83</v>
      </c>
      <c r="B25" s="0" t="n">
        <v>1295.97746486238</v>
      </c>
      <c r="C25" s="0" t="n">
        <v>15.6141863236432</v>
      </c>
      <c r="F25" s="0" t="s">
        <v>351</v>
      </c>
    </row>
    <row r="27" customFormat="false" ht="13.8" hidden="false" customHeight="false" outlineLevel="0" collapsed="false">
      <c r="A27" s="288" t="s">
        <v>352</v>
      </c>
      <c r="B27" s="288"/>
      <c r="C27" s="288"/>
      <c r="D27" s="288"/>
      <c r="E27" s="288"/>
      <c r="F27" s="288"/>
    </row>
    <row r="28" customFormat="false" ht="13.8" hidden="false" customHeight="false" outlineLevel="0" collapsed="false">
      <c r="A28" s="258" t="s">
        <v>184</v>
      </c>
      <c r="B28" s="259" t="s">
        <v>185</v>
      </c>
      <c r="C28" s="259" t="s">
        <v>186</v>
      </c>
      <c r="D28" s="259" t="s">
        <v>187</v>
      </c>
      <c r="E28" s="289"/>
      <c r="F28" s="245"/>
    </row>
    <row r="29" customFormat="false" ht="13.8" hidden="false" customHeight="false" outlineLevel="0" collapsed="false">
      <c r="A29" s="0" t="n">
        <v>-0.145113684171847</v>
      </c>
      <c r="B29" s="0" t="n">
        <v>-2.45886755031722</v>
      </c>
      <c r="C29" s="0" t="n">
        <v>2.16864018197352</v>
      </c>
      <c r="D29" s="0" t="n">
        <v>0.987727234670766</v>
      </c>
      <c r="E29" s="21" t="s">
        <v>353</v>
      </c>
    </row>
    <row r="30" customFormat="false" ht="13.8" hidden="false" customHeight="false" outlineLevel="0" collapsed="false">
      <c r="A30" s="0" t="n">
        <v>-0.659578129392905</v>
      </c>
      <c r="B30" s="0" t="n">
        <v>-3.78562728561104</v>
      </c>
      <c r="C30" s="0" t="n">
        <v>2.46647102682523</v>
      </c>
      <c r="D30" s="0" t="n">
        <v>0.869814179251452</v>
      </c>
      <c r="E30" s="100" t="s">
        <v>354</v>
      </c>
    </row>
    <row r="31" customFormat="false" ht="13.8" hidden="false" customHeight="false" outlineLevel="0" collapsed="false">
      <c r="A31" s="0" t="n">
        <v>-0.514464445221058</v>
      </c>
      <c r="B31" s="0" t="n">
        <v>-3.39285148508041</v>
      </c>
      <c r="C31" s="0" t="n">
        <v>2.36392259463829</v>
      </c>
      <c r="D31" s="0" t="n">
        <v>0.904703488886464</v>
      </c>
      <c r="E31" s="0" t="s">
        <v>355</v>
      </c>
    </row>
  </sheetData>
  <mergeCells count="7">
    <mergeCell ref="A12:F12"/>
    <mergeCell ref="A14:F14"/>
    <mergeCell ref="A15:F15"/>
    <mergeCell ref="A16:F16"/>
    <mergeCell ref="A18:E18"/>
    <mergeCell ref="A22:F22"/>
    <mergeCell ref="A27:F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2" activeCellId="0" sqref="E2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18.88"/>
    <col collapsed="false" customWidth="true" hidden="false" outlineLevel="0" max="3" min="3" style="0" width="17.3"/>
    <col collapsed="false" customWidth="true" hidden="false" outlineLevel="0" max="4" min="4" style="0" width="19.28"/>
    <col collapsed="false" customWidth="true" hidden="false" outlineLevel="0" max="5" min="5" style="0" width="17.14"/>
    <col collapsed="false" customWidth="true" hidden="false" outlineLevel="0" max="8" min="8" style="0" width="17.69"/>
    <col collapsed="false" customWidth="true" hidden="false" outlineLevel="0" max="9" min="9" style="0" width="15.08"/>
    <col collapsed="false" customWidth="true" hidden="false" outlineLevel="0" max="10" min="10" style="0" width="19.36"/>
    <col collapsed="false" customWidth="true" hidden="false" outlineLevel="0" max="11" min="11" style="0" width="16.66"/>
  </cols>
  <sheetData>
    <row r="1" s="291" customFormat="true" ht="29.85" hidden="false" customHeight="true" outlineLevel="0" collapsed="false">
      <c r="A1" s="290" t="s">
        <v>356</v>
      </c>
      <c r="B1" s="290"/>
      <c r="C1" s="290"/>
      <c r="D1" s="290"/>
      <c r="E1" s="290"/>
      <c r="G1" s="290" t="s">
        <v>357</v>
      </c>
      <c r="H1" s="290"/>
      <c r="I1" s="290"/>
      <c r="J1" s="290"/>
      <c r="K1" s="290"/>
    </row>
    <row r="2" s="291" customFormat="true" ht="28.7" hidden="false" customHeight="true" outlineLevel="0" collapsed="false">
      <c r="A2" s="290" t="s">
        <v>358</v>
      </c>
      <c r="B2" s="290" t="s">
        <v>359</v>
      </c>
      <c r="C2" s="290" t="s">
        <v>360</v>
      </c>
      <c r="D2" s="290" t="s">
        <v>361</v>
      </c>
      <c r="E2" s="290" t="s">
        <v>362</v>
      </c>
      <c r="F2" s="292"/>
      <c r="G2" s="290" t="s">
        <v>358</v>
      </c>
      <c r="H2" s="290" t="s">
        <v>359</v>
      </c>
      <c r="I2" s="290" t="s">
        <v>360</v>
      </c>
      <c r="J2" s="290" t="s">
        <v>361</v>
      </c>
      <c r="K2" s="290" t="s">
        <v>362</v>
      </c>
    </row>
    <row r="3" customFormat="false" ht="13.8" hidden="false" customHeight="false" outlineLevel="0" collapsed="false">
      <c r="A3" s="35" t="s">
        <v>363</v>
      </c>
      <c r="B3" s="0" t="n">
        <v>0.919194487007553</v>
      </c>
      <c r="C3" s="0" t="n">
        <v>0.00528101722663868</v>
      </c>
      <c r="D3" s="0" t="n">
        <v>4.79117470595047</v>
      </c>
      <c r="E3" s="40" t="n">
        <v>1.12276786024974E-054</v>
      </c>
      <c r="G3" s="35" t="s">
        <v>364</v>
      </c>
      <c r="H3" s="0" t="n">
        <v>-1.88579593382785</v>
      </c>
      <c r="I3" s="0" t="n">
        <v>5.6290745938452E-109</v>
      </c>
      <c r="J3" s="0" t="n">
        <v>-7.26912164319968</v>
      </c>
      <c r="K3" s="40" t="n">
        <v>7.66483889225178E-198</v>
      </c>
    </row>
    <row r="4" customFormat="false" ht="13.8" hidden="false" customHeight="false" outlineLevel="0" collapsed="false">
      <c r="A4" s="35" t="s">
        <v>365</v>
      </c>
      <c r="B4" s="0" t="n">
        <v>2.72189200975913</v>
      </c>
      <c r="C4" s="0" t="n">
        <v>3.61751224260745E-058</v>
      </c>
      <c r="D4" s="0" t="n">
        <v>4.11301238412926</v>
      </c>
      <c r="E4" s="40" t="n">
        <v>2.32771823334603E-026</v>
      </c>
      <c r="G4" s="35" t="s">
        <v>366</v>
      </c>
      <c r="H4" s="0" t="n">
        <v>-2.55481117687465</v>
      </c>
      <c r="I4" s="0" t="n">
        <v>8.75333093928477E-045</v>
      </c>
      <c r="J4" s="0" t="n">
        <v>-6.86255362850499</v>
      </c>
      <c r="K4" s="40" t="n">
        <v>4.3703070412894E-102</v>
      </c>
    </row>
    <row r="5" customFormat="false" ht="13.8" hidden="false" customHeight="false" outlineLevel="0" collapsed="false">
      <c r="A5" s="35" t="s">
        <v>367</v>
      </c>
      <c r="B5" s="0" t="n">
        <v>2.11448419389275</v>
      </c>
      <c r="C5" s="0" t="n">
        <v>8.55204274887382E-167</v>
      </c>
      <c r="D5" s="0" t="n">
        <v>4.08125267546449</v>
      </c>
      <c r="E5" s="40" t="n">
        <v>5.78360652493807E-031</v>
      </c>
      <c r="G5" s="35" t="s">
        <v>368</v>
      </c>
      <c r="H5" s="0" t="n">
        <v>-3.05532735876707</v>
      </c>
      <c r="I5" s="0" t="n">
        <v>1.66323292914667E-230</v>
      </c>
      <c r="J5" s="0" t="n">
        <v>-6.10414496573394</v>
      </c>
      <c r="K5" s="40" t="n">
        <v>1.28367521131738E-222</v>
      </c>
    </row>
    <row r="6" customFormat="false" ht="13.8" hidden="false" customHeight="false" outlineLevel="0" collapsed="false">
      <c r="A6" s="35" t="s">
        <v>369</v>
      </c>
      <c r="B6" s="0" t="n">
        <v>0.62036397612873</v>
      </c>
      <c r="C6" s="0" t="n">
        <v>7.45617042190689E-006</v>
      </c>
      <c r="D6" s="0" t="n">
        <v>4.03456889324821</v>
      </c>
      <c r="E6" s="40" t="n">
        <v>0</v>
      </c>
      <c r="G6" s="35" t="s">
        <v>370</v>
      </c>
      <c r="H6" s="0" t="n">
        <v>-2.38832735231568</v>
      </c>
      <c r="I6" s="0" t="n">
        <v>3.61954543977546E-208</v>
      </c>
      <c r="J6" s="0" t="n">
        <v>-5.53822148128669</v>
      </c>
      <c r="K6" s="40" t="n">
        <v>7.80162918924988E-129</v>
      </c>
    </row>
    <row r="7" customFormat="false" ht="13.8" hidden="false" customHeight="false" outlineLevel="0" collapsed="false">
      <c r="A7" s="35" t="s">
        <v>371</v>
      </c>
      <c r="B7" s="0" t="n">
        <v>1.573789712916</v>
      </c>
      <c r="C7" s="0" t="n">
        <v>9.27240301901911E-027</v>
      </c>
      <c r="D7" s="0" t="n">
        <v>3.87241411111234</v>
      </c>
      <c r="E7" s="40" t="n">
        <v>1.70112241115999E-065</v>
      </c>
      <c r="G7" s="35" t="s">
        <v>372</v>
      </c>
      <c r="H7" s="0" t="n">
        <v>-3.80200394406522</v>
      </c>
      <c r="I7" s="0" t="n">
        <v>3.06574907040724E-203</v>
      </c>
      <c r="J7" s="0" t="n">
        <v>-5.36646118327225</v>
      </c>
      <c r="K7" s="40" t="n">
        <v>0</v>
      </c>
    </row>
    <row r="8" customFormat="false" ht="13.8" hidden="false" customHeight="false" outlineLevel="0" collapsed="false">
      <c r="A8" s="35" t="s">
        <v>373</v>
      </c>
      <c r="B8" s="0" t="n">
        <v>1.48808894723756</v>
      </c>
      <c r="C8" s="0" t="n">
        <v>0</v>
      </c>
      <c r="D8" s="0" t="n">
        <v>3.83308292240612</v>
      </c>
      <c r="E8" s="40" t="n">
        <v>0</v>
      </c>
      <c r="G8" s="35" t="s">
        <v>374</v>
      </c>
      <c r="H8" s="0" t="n">
        <v>-3.23436027363782</v>
      </c>
      <c r="I8" s="0" t="n">
        <v>1.83061299091887E-234</v>
      </c>
      <c r="J8" s="0" t="n">
        <v>-5.27831737835431</v>
      </c>
      <c r="K8" s="40" t="n">
        <v>0</v>
      </c>
    </row>
    <row r="9" customFormat="false" ht="13.8" hidden="false" customHeight="false" outlineLevel="0" collapsed="false">
      <c r="A9" s="35" t="s">
        <v>302</v>
      </c>
      <c r="B9" s="0" t="n">
        <v>1.38714219772896</v>
      </c>
      <c r="C9" s="0" t="n">
        <v>0</v>
      </c>
      <c r="D9" s="0" t="n">
        <v>3.77682147312632</v>
      </c>
      <c r="E9" s="40" t="n">
        <v>0</v>
      </c>
      <c r="G9" s="35" t="s">
        <v>375</v>
      </c>
      <c r="H9" s="0" t="n">
        <v>-0.698008765980601</v>
      </c>
      <c r="I9" s="0" t="n">
        <v>9.88563384494671E-018</v>
      </c>
      <c r="J9" s="0" t="n">
        <v>-5.24482295717321</v>
      </c>
      <c r="K9" s="40" t="n">
        <v>0</v>
      </c>
    </row>
    <row r="10" customFormat="false" ht="13.8" hidden="false" customHeight="false" outlineLevel="0" collapsed="false">
      <c r="A10" s="35" t="s">
        <v>376</v>
      </c>
      <c r="B10" s="0" t="n">
        <v>0.988272865050369</v>
      </c>
      <c r="C10" s="0" t="n">
        <v>0.00476740755569005</v>
      </c>
      <c r="D10" s="0" t="n">
        <v>3.70899065033139</v>
      </c>
      <c r="E10" s="40" t="n">
        <v>8.72734939942371E-027</v>
      </c>
      <c r="G10" s="35" t="s">
        <v>299</v>
      </c>
      <c r="H10" s="0" t="n">
        <v>-0.245410141195865</v>
      </c>
      <c r="I10" s="0" t="n">
        <v>6.82009824889454E-053</v>
      </c>
      <c r="J10" s="0" t="n">
        <v>-5.20283995221563</v>
      </c>
      <c r="K10" s="40" t="n">
        <v>0</v>
      </c>
    </row>
    <row r="11" customFormat="false" ht="13.8" hidden="false" customHeight="false" outlineLevel="0" collapsed="false">
      <c r="A11" s="35" t="s">
        <v>377</v>
      </c>
      <c r="B11" s="0" t="n">
        <v>0.525330568946855</v>
      </c>
      <c r="C11" s="0" t="n">
        <v>2.2515396245348E-027</v>
      </c>
      <c r="D11" s="0" t="n">
        <v>3.57634558518157</v>
      </c>
      <c r="E11" s="40" t="n">
        <v>5.5932458884309E-170</v>
      </c>
      <c r="G11" s="35" t="s">
        <v>378</v>
      </c>
      <c r="H11" s="0" t="n">
        <v>-3.88134398657237</v>
      </c>
      <c r="I11" s="0" t="n">
        <v>0</v>
      </c>
      <c r="J11" s="0" t="n">
        <v>-4.89340009129555</v>
      </c>
      <c r="K11" s="40" t="n">
        <v>4.55331426378043E-035</v>
      </c>
    </row>
    <row r="12" customFormat="false" ht="13.8" hidden="false" customHeight="false" outlineLevel="0" collapsed="false">
      <c r="A12" s="35" t="s">
        <v>379</v>
      </c>
      <c r="B12" s="0" t="n">
        <v>0.590417409348977</v>
      </c>
      <c r="C12" s="0" t="n">
        <v>1.6973066310384E-012</v>
      </c>
      <c r="D12" s="0" t="n">
        <v>3.56515078164211</v>
      </c>
      <c r="E12" s="40" t="n">
        <v>0</v>
      </c>
      <c r="G12" s="35" t="s">
        <v>380</v>
      </c>
      <c r="H12" s="0" t="n">
        <v>-2.17531168283073</v>
      </c>
      <c r="I12" s="0" t="n">
        <v>0</v>
      </c>
      <c r="J12" s="0" t="n">
        <v>-4.84984622533502</v>
      </c>
      <c r="K12" s="40" t="n">
        <v>0</v>
      </c>
    </row>
    <row r="13" customFormat="false" ht="13.8" hidden="false" customHeight="false" outlineLevel="0" collapsed="false">
      <c r="A13" s="35" t="s">
        <v>381</v>
      </c>
      <c r="B13" s="0" t="n">
        <v>1.28074548453668</v>
      </c>
      <c r="C13" s="0" t="n">
        <v>2.17591218798566E-028</v>
      </c>
      <c r="D13" s="0" t="n">
        <v>3.51904360168567</v>
      </c>
      <c r="E13" s="40" t="n">
        <v>3.93911892377984E-014</v>
      </c>
      <c r="G13" s="35" t="s">
        <v>382</v>
      </c>
      <c r="H13" s="0" t="n">
        <v>-2.87978634086705</v>
      </c>
      <c r="I13" s="0" t="n">
        <v>3.73161791419116E-113</v>
      </c>
      <c r="J13" s="0" t="n">
        <v>-4.8094493646389</v>
      </c>
      <c r="K13" s="40" t="n">
        <v>7.08694766169525E-041</v>
      </c>
    </row>
    <row r="14" customFormat="false" ht="13.8" hidden="false" customHeight="false" outlineLevel="0" collapsed="false">
      <c r="A14" s="35" t="s">
        <v>383</v>
      </c>
      <c r="B14" s="0" t="n">
        <v>2.69266399523498</v>
      </c>
      <c r="C14" s="0" t="n">
        <v>3.54771753217513E-023</v>
      </c>
      <c r="D14" s="0" t="n">
        <v>3.4458300132088</v>
      </c>
      <c r="E14" s="40" t="n">
        <v>1.06618426775145E-063</v>
      </c>
      <c r="G14" s="35" t="s">
        <v>384</v>
      </c>
      <c r="H14" s="0" t="n">
        <v>-3.42647076289968</v>
      </c>
      <c r="I14" s="0" t="n">
        <v>4.47386099648805E-274</v>
      </c>
      <c r="J14" s="0" t="n">
        <v>-4.71714129674048</v>
      </c>
      <c r="K14" s="40" t="n">
        <v>0</v>
      </c>
    </row>
    <row r="15" customFormat="false" ht="13.8" hidden="false" customHeight="false" outlineLevel="0" collapsed="false">
      <c r="A15" s="35" t="s">
        <v>385</v>
      </c>
      <c r="B15" s="0" t="n">
        <v>0.296758812357454</v>
      </c>
      <c r="C15" s="0" t="n">
        <v>6.18331858141093E-014</v>
      </c>
      <c r="D15" s="0" t="n">
        <v>3.39652751448424</v>
      </c>
      <c r="E15" s="40" t="n">
        <v>0</v>
      </c>
      <c r="G15" s="35" t="s">
        <v>386</v>
      </c>
      <c r="H15" s="0" t="n">
        <v>-2.07599811097008</v>
      </c>
      <c r="I15" s="0" t="n">
        <v>4.10339732994047E-031</v>
      </c>
      <c r="J15" s="0" t="n">
        <v>-4.64384975977287</v>
      </c>
      <c r="K15" s="40" t="n">
        <v>1.59064300353725E-030</v>
      </c>
    </row>
    <row r="16" customFormat="false" ht="13.8" hidden="false" customHeight="false" outlineLevel="0" collapsed="false">
      <c r="A16" s="35" t="s">
        <v>387</v>
      </c>
      <c r="B16" s="0" t="n">
        <v>0.772301170976194</v>
      </c>
      <c r="C16" s="0" t="n">
        <v>5.45351117154709E-077</v>
      </c>
      <c r="D16" s="0" t="n">
        <v>3.3910966143626</v>
      </c>
      <c r="E16" s="40" t="n">
        <v>3.13323854716834E-149</v>
      </c>
      <c r="G16" s="35" t="s">
        <v>388</v>
      </c>
      <c r="H16" s="0" t="n">
        <v>-1.32636164085388</v>
      </c>
      <c r="I16" s="0" t="n">
        <v>3.76479105518289E-031</v>
      </c>
      <c r="J16" s="0" t="n">
        <v>-4.5953134143862</v>
      </c>
      <c r="K16" s="40" t="n">
        <v>0</v>
      </c>
    </row>
    <row r="17" customFormat="false" ht="13.8" hidden="false" customHeight="false" outlineLevel="0" collapsed="false">
      <c r="A17" s="35" t="s">
        <v>389</v>
      </c>
      <c r="B17" s="0" t="n">
        <v>0.637584652891836</v>
      </c>
      <c r="C17" s="0" t="n">
        <v>6.34883800533904E-032</v>
      </c>
      <c r="D17" s="0" t="n">
        <v>3.35467261732543</v>
      </c>
      <c r="E17" s="40" t="n">
        <v>4.36313211845242E-083</v>
      </c>
      <c r="G17" s="35" t="s">
        <v>390</v>
      </c>
      <c r="H17" s="0" t="n">
        <v>-0.293711284749728</v>
      </c>
      <c r="I17" s="0" t="n">
        <v>0.00107967955560073</v>
      </c>
      <c r="J17" s="0" t="n">
        <v>-4.35125314226927</v>
      </c>
      <c r="K17" s="40" t="n">
        <v>1.03057034887997E-297</v>
      </c>
    </row>
    <row r="18" customFormat="false" ht="13.8" hidden="false" customHeight="false" outlineLevel="0" collapsed="false">
      <c r="A18" s="35" t="s">
        <v>391</v>
      </c>
      <c r="B18" s="0" t="n">
        <v>1.73332979117732</v>
      </c>
      <c r="C18" s="0" t="n">
        <v>1.66092539446847E-125</v>
      </c>
      <c r="D18" s="0" t="n">
        <v>3.31250945024448</v>
      </c>
      <c r="E18" s="40" t="n">
        <v>1.00022592199763E-031</v>
      </c>
      <c r="G18" s="35" t="s">
        <v>392</v>
      </c>
      <c r="H18" s="0" t="n">
        <v>-1.95956827931719</v>
      </c>
      <c r="I18" s="0" t="n">
        <v>4.69984956893931E-191</v>
      </c>
      <c r="J18" s="0" t="n">
        <v>-4.29430620198793</v>
      </c>
      <c r="K18" s="40" t="n">
        <v>2.88109504613266E-269</v>
      </c>
    </row>
    <row r="19" customFormat="false" ht="13.8" hidden="false" customHeight="false" outlineLevel="0" collapsed="false">
      <c r="A19" s="35" t="s">
        <v>393</v>
      </c>
      <c r="B19" s="0" t="n">
        <v>0.793437247971857</v>
      </c>
      <c r="C19" s="0" t="n">
        <v>0</v>
      </c>
      <c r="D19" s="0" t="n">
        <v>3.16878969915665</v>
      </c>
      <c r="E19" s="40" t="n">
        <v>0</v>
      </c>
      <c r="G19" s="35" t="s">
        <v>394</v>
      </c>
      <c r="H19" s="0" t="n">
        <v>-1.3270965140975</v>
      </c>
      <c r="I19" s="0" t="n">
        <v>4.18324375408315E-201</v>
      </c>
      <c r="J19" s="0" t="n">
        <v>-4.28602782684922</v>
      </c>
      <c r="K19" s="40" t="n">
        <v>8.12025709348876E-232</v>
      </c>
    </row>
    <row r="20" customFormat="false" ht="13.8" hidden="false" customHeight="false" outlineLevel="0" collapsed="false">
      <c r="A20" s="35" t="s">
        <v>395</v>
      </c>
      <c r="B20" s="0" t="n">
        <v>0.749817060557752</v>
      </c>
      <c r="C20" s="0" t="n">
        <v>2.99009865702089E-057</v>
      </c>
      <c r="D20" s="0" t="n">
        <v>3.05100294771329</v>
      </c>
      <c r="E20" s="40" t="n">
        <v>3.6481460214785E-207</v>
      </c>
      <c r="G20" s="35" t="s">
        <v>396</v>
      </c>
      <c r="H20" s="0" t="n">
        <v>-1.60277507111001</v>
      </c>
      <c r="I20" s="0" t="n">
        <v>4.51433130525802E-145</v>
      </c>
      <c r="J20" s="0" t="n">
        <v>-4.27804188392453</v>
      </c>
      <c r="K20" s="40" t="n">
        <v>0</v>
      </c>
    </row>
    <row r="21" customFormat="false" ht="13.8" hidden="false" customHeight="false" outlineLevel="0" collapsed="false">
      <c r="A21" s="35" t="s">
        <v>397</v>
      </c>
      <c r="B21" s="0" t="n">
        <v>0.966284313001941</v>
      </c>
      <c r="C21" s="0" t="n">
        <v>0</v>
      </c>
      <c r="D21" s="0" t="n">
        <v>3.04192241781609</v>
      </c>
      <c r="E21" s="40" t="n">
        <v>0</v>
      </c>
      <c r="G21" s="35" t="s">
        <v>297</v>
      </c>
      <c r="H21" s="0" t="n">
        <v>-2.23270852107025</v>
      </c>
      <c r="I21" s="0" t="n">
        <v>6.94158353388746E-104</v>
      </c>
      <c r="J21" s="0" t="n">
        <v>-4.25082237501533</v>
      </c>
      <c r="K21" s="40" t="n">
        <v>0</v>
      </c>
    </row>
    <row r="22" customFormat="false" ht="13.8" hidden="false" customHeight="false" outlineLevel="0" collapsed="false">
      <c r="A22" s="35" t="s">
        <v>398</v>
      </c>
      <c r="B22" s="0" t="n">
        <v>1.90875394475259</v>
      </c>
      <c r="C22" s="0" t="n">
        <v>7.32393677938413E-145</v>
      </c>
      <c r="D22" s="0" t="n">
        <v>3.03796607169519</v>
      </c>
      <c r="E22" s="40" t="n">
        <v>3.85526313794752E-012</v>
      </c>
      <c r="G22" s="35" t="s">
        <v>399</v>
      </c>
      <c r="H22" s="0" t="n">
        <v>-2.40252844621813</v>
      </c>
      <c r="I22" s="0" t="n">
        <v>0</v>
      </c>
      <c r="J22" s="0" t="n">
        <v>-4.23037939701165</v>
      </c>
      <c r="K22" s="40" t="n">
        <v>0</v>
      </c>
    </row>
    <row r="23" customFormat="false" ht="13.8" hidden="false" customHeight="false" outlineLevel="0" collapsed="false">
      <c r="A23" s="35" t="s">
        <v>400</v>
      </c>
      <c r="B23" s="0" t="n">
        <v>1.2599202179316</v>
      </c>
      <c r="C23" s="0" t="n">
        <v>3.49782131473141E-022</v>
      </c>
      <c r="D23" s="0" t="n">
        <v>3.03477572827805</v>
      </c>
      <c r="E23" s="40" t="n">
        <v>5.53619338859537E-010</v>
      </c>
      <c r="G23" s="35" t="s">
        <v>401</v>
      </c>
      <c r="H23" s="0" t="n">
        <v>-2.27209068064017</v>
      </c>
      <c r="I23" s="0" t="n">
        <v>5.95392044115894E-197</v>
      </c>
      <c r="J23" s="0" t="n">
        <v>-4.17396699446202</v>
      </c>
      <c r="K23" s="40" t="n">
        <v>3.26448978217834E-030</v>
      </c>
    </row>
    <row r="24" customFormat="false" ht="13.8" hidden="false" customHeight="false" outlineLevel="0" collapsed="false">
      <c r="A24" s="35" t="s">
        <v>402</v>
      </c>
      <c r="B24" s="0" t="n">
        <v>0.574792232710702</v>
      </c>
      <c r="C24" s="0" t="n">
        <v>5.70872136713811E-023</v>
      </c>
      <c r="D24" s="0" t="n">
        <v>3.01675588346634</v>
      </c>
      <c r="E24" s="40" t="n">
        <v>8.97864354310103E-118</v>
      </c>
      <c r="G24" s="35" t="s">
        <v>403</v>
      </c>
      <c r="H24" s="0" t="n">
        <v>-0.699934100451655</v>
      </c>
      <c r="I24" s="0" t="n">
        <v>4.68447680771474E-014</v>
      </c>
      <c r="J24" s="0" t="n">
        <v>-4.08096447944776</v>
      </c>
      <c r="K24" s="40" t="n">
        <v>2.58923276493766E-098</v>
      </c>
    </row>
    <row r="25" customFormat="false" ht="13.8" hidden="false" customHeight="false" outlineLevel="0" collapsed="false">
      <c r="A25" s="35" t="s">
        <v>404</v>
      </c>
      <c r="B25" s="0" t="n">
        <v>0.546541168279336</v>
      </c>
      <c r="C25" s="0" t="n">
        <v>4.1736827015297E-034</v>
      </c>
      <c r="D25" s="0" t="n">
        <v>2.99586933041423</v>
      </c>
      <c r="E25" s="40" t="n">
        <v>1.89603734935503E-069</v>
      </c>
      <c r="G25" s="35" t="s">
        <v>405</v>
      </c>
      <c r="H25" s="0" t="n">
        <v>-0.646661871119853</v>
      </c>
      <c r="I25" s="0" t="n">
        <v>2.8833494993319E-009</v>
      </c>
      <c r="J25" s="0" t="n">
        <v>-4.00660040744771</v>
      </c>
      <c r="K25" s="40" t="n">
        <v>7.13499214618115E-140</v>
      </c>
    </row>
    <row r="26" customFormat="false" ht="13.8" hidden="false" customHeight="false" outlineLevel="0" collapsed="false">
      <c r="A26" s="35" t="s">
        <v>406</v>
      </c>
      <c r="B26" s="0" t="n">
        <v>0.9543468274442</v>
      </c>
      <c r="C26" s="0" t="n">
        <v>2.21323159947421E-017</v>
      </c>
      <c r="D26" s="0" t="n">
        <v>2.93265427010163</v>
      </c>
      <c r="E26" s="40" t="n">
        <v>1.0536869114764E-041</v>
      </c>
      <c r="G26" s="35" t="s">
        <v>407</v>
      </c>
      <c r="H26" s="0" t="n">
        <v>-0.728791918112776</v>
      </c>
      <c r="I26" s="0" t="n">
        <v>3.25355127251119E-020</v>
      </c>
      <c r="J26" s="0" t="n">
        <v>-3.98612098552471</v>
      </c>
      <c r="K26" s="40" t="n">
        <v>1.11581026198353E-021</v>
      </c>
    </row>
    <row r="27" customFormat="false" ht="13.8" hidden="false" customHeight="false" outlineLevel="0" collapsed="false">
      <c r="A27" s="35" t="s">
        <v>408</v>
      </c>
      <c r="B27" s="0" t="n">
        <v>1.07279084236577</v>
      </c>
      <c r="C27" s="0" t="n">
        <v>2.47240334211989E-006</v>
      </c>
      <c r="D27" s="0" t="n">
        <v>2.9142268024174</v>
      </c>
      <c r="E27" s="40" t="n">
        <v>1.01418555707277E-017</v>
      </c>
      <c r="G27" s="35" t="s">
        <v>409</v>
      </c>
      <c r="H27" s="0" t="n">
        <v>-2.21776448357151</v>
      </c>
      <c r="I27" s="0" t="n">
        <v>0</v>
      </c>
      <c r="J27" s="0" t="n">
        <v>-3.91725304072953</v>
      </c>
      <c r="K27" s="40" t="n">
        <v>1.21654441254324E-289</v>
      </c>
    </row>
    <row r="28" customFormat="false" ht="13.8" hidden="false" customHeight="false" outlineLevel="0" collapsed="false">
      <c r="A28" s="35" t="s">
        <v>410</v>
      </c>
      <c r="B28" s="0" t="n">
        <v>0.73453431465343</v>
      </c>
      <c r="C28" s="0" t="n">
        <v>4.59072562651502E-034</v>
      </c>
      <c r="D28" s="0" t="n">
        <v>2.89088262465095</v>
      </c>
      <c r="E28" s="40" t="n">
        <v>2.5199867879222E-053</v>
      </c>
      <c r="G28" s="35" t="s">
        <v>411</v>
      </c>
      <c r="H28" s="0" t="n">
        <v>-1.13481232966332</v>
      </c>
      <c r="I28" s="0" t="n">
        <v>7.44696561247579E-097</v>
      </c>
      <c r="J28" s="0" t="n">
        <v>-3.91606197478866</v>
      </c>
      <c r="K28" s="40" t="n">
        <v>1.36337609610912E-053</v>
      </c>
    </row>
    <row r="29" customFormat="false" ht="13.8" hidden="false" customHeight="false" outlineLevel="0" collapsed="false">
      <c r="A29" s="35" t="s">
        <v>412</v>
      </c>
      <c r="B29" s="0" t="n">
        <v>0.936409013002555</v>
      </c>
      <c r="C29" s="0" t="n">
        <v>3.89299660807143E-025</v>
      </c>
      <c r="D29" s="0" t="n">
        <v>2.87846617979184</v>
      </c>
      <c r="E29" s="40" t="n">
        <v>8.15199412218649E-084</v>
      </c>
      <c r="G29" s="35" t="s">
        <v>413</v>
      </c>
      <c r="H29" s="0" t="n">
        <v>-1.70808771375437</v>
      </c>
      <c r="I29" s="0" t="n">
        <v>1.00963624473557E-170</v>
      </c>
      <c r="J29" s="0" t="n">
        <v>-3.81918174617585</v>
      </c>
      <c r="K29" s="40" t="n">
        <v>2.24608957278812E-205</v>
      </c>
    </row>
    <row r="30" customFormat="false" ht="13.8" hidden="false" customHeight="false" outlineLevel="0" collapsed="false">
      <c r="A30" s="35" t="s">
        <v>414</v>
      </c>
      <c r="B30" s="0" t="n">
        <v>1.44020864739376</v>
      </c>
      <c r="C30" s="0" t="n">
        <v>0</v>
      </c>
      <c r="D30" s="0" t="n">
        <v>2.8734507772693</v>
      </c>
      <c r="E30" s="40" t="n">
        <v>0</v>
      </c>
      <c r="G30" s="35" t="s">
        <v>415</v>
      </c>
      <c r="H30" s="0" t="n">
        <v>-1.64420566954021</v>
      </c>
      <c r="I30" s="0" t="n">
        <v>1.80281007555698E-082</v>
      </c>
      <c r="J30" s="0" t="n">
        <v>-3.78032091337415</v>
      </c>
      <c r="K30" s="40" t="n">
        <v>1.88374737190991E-129</v>
      </c>
    </row>
    <row r="31" customFormat="false" ht="13.8" hidden="false" customHeight="false" outlineLevel="0" collapsed="false">
      <c r="A31" s="35" t="s">
        <v>416</v>
      </c>
      <c r="B31" s="0" t="n">
        <v>0.453441404038005</v>
      </c>
      <c r="C31" s="0" t="n">
        <v>3.20153516861532E-011</v>
      </c>
      <c r="D31" s="0" t="n">
        <v>2.82272928699364</v>
      </c>
      <c r="E31" s="40" t="n">
        <v>5.20649016484519E-095</v>
      </c>
      <c r="G31" s="35" t="s">
        <v>417</v>
      </c>
      <c r="H31" s="0" t="n">
        <v>-0.333106351219172</v>
      </c>
      <c r="I31" s="0" t="n">
        <v>0.00328275375260116</v>
      </c>
      <c r="J31" s="0" t="n">
        <v>-3.69999866758902</v>
      </c>
      <c r="K31" s="40" t="n">
        <v>6.46692591961919E-099</v>
      </c>
    </row>
    <row r="32" customFormat="false" ht="13.8" hidden="false" customHeight="false" outlineLevel="0" collapsed="false">
      <c r="A32" s="35" t="s">
        <v>418</v>
      </c>
      <c r="B32" s="0" t="n">
        <v>0.767285719155872</v>
      </c>
      <c r="C32" s="0" t="n">
        <v>1.02843524306357E-043</v>
      </c>
      <c r="D32" s="0" t="n">
        <v>2.78698690263018</v>
      </c>
      <c r="E32" s="40" t="n">
        <v>1.16369280991391E-056</v>
      </c>
      <c r="G32" s="35" t="s">
        <v>419</v>
      </c>
      <c r="H32" s="0" t="n">
        <v>-0.499205602678203</v>
      </c>
      <c r="I32" s="0" t="n">
        <v>9.10923852895255E-053</v>
      </c>
      <c r="J32" s="0" t="n">
        <v>-3.66095207393841</v>
      </c>
      <c r="K32" s="40" t="n">
        <v>0</v>
      </c>
    </row>
    <row r="33" customFormat="false" ht="13.8" hidden="false" customHeight="false" outlineLevel="0" collapsed="false">
      <c r="A33" s="35" t="s">
        <v>420</v>
      </c>
      <c r="B33" s="0" t="n">
        <v>0.645194794837235</v>
      </c>
      <c r="C33" s="0" t="n">
        <v>0.000125918656640275</v>
      </c>
      <c r="D33" s="0" t="n">
        <v>2.72449505709919</v>
      </c>
      <c r="E33" s="40" t="n">
        <v>3.64656847169281E-041</v>
      </c>
      <c r="G33" s="35" t="s">
        <v>421</v>
      </c>
      <c r="H33" s="0" t="n">
        <v>-1.09040857201781</v>
      </c>
      <c r="I33" s="0" t="n">
        <v>3.31865541307549E-008</v>
      </c>
      <c r="J33" s="0" t="n">
        <v>-3.61090693352233</v>
      </c>
      <c r="K33" s="40" t="n">
        <v>8.2874786544148E-026</v>
      </c>
    </row>
    <row r="34" customFormat="false" ht="13.8" hidden="false" customHeight="false" outlineLevel="0" collapsed="false">
      <c r="A34" s="35" t="s">
        <v>422</v>
      </c>
      <c r="B34" s="0" t="n">
        <v>1.11328757904647</v>
      </c>
      <c r="C34" s="0" t="n">
        <v>6.49225490403674E-172</v>
      </c>
      <c r="D34" s="0" t="n">
        <v>2.69098977455571</v>
      </c>
      <c r="E34" s="40" t="n">
        <v>1.59837744360249E-053</v>
      </c>
      <c r="G34" s="35" t="s">
        <v>423</v>
      </c>
      <c r="H34" s="0" t="n">
        <v>-0.75356988676938</v>
      </c>
      <c r="I34" s="0" t="n">
        <v>7.64745510814253E-132</v>
      </c>
      <c r="J34" s="0" t="n">
        <v>-3.54800190059528</v>
      </c>
      <c r="K34" s="40" t="n">
        <v>2.2394913878969E-099</v>
      </c>
    </row>
    <row r="35" customFormat="false" ht="13.8" hidden="false" customHeight="false" outlineLevel="0" collapsed="false">
      <c r="A35" s="35" t="s">
        <v>424</v>
      </c>
      <c r="B35" s="0" t="n">
        <v>0.368910209695435</v>
      </c>
      <c r="C35" s="0" t="n">
        <v>2.7299362824853E-008</v>
      </c>
      <c r="D35" s="0" t="n">
        <v>2.66674031357534</v>
      </c>
      <c r="E35" s="40" t="n">
        <v>3.60454105152685E-062</v>
      </c>
      <c r="G35" s="35" t="s">
        <v>425</v>
      </c>
      <c r="H35" s="0" t="n">
        <v>-1.8465903599906</v>
      </c>
      <c r="I35" s="0" t="n">
        <v>3.01484637271782E-273</v>
      </c>
      <c r="J35" s="0" t="n">
        <v>-3.5416642734147</v>
      </c>
      <c r="K35" s="40" t="n">
        <v>4.06650751489384E-074</v>
      </c>
    </row>
    <row r="36" customFormat="false" ht="13.8" hidden="false" customHeight="false" outlineLevel="0" collapsed="false">
      <c r="A36" s="35" t="s">
        <v>426</v>
      </c>
      <c r="B36" s="0" t="n">
        <v>0.516475159044138</v>
      </c>
      <c r="C36" s="0" t="n">
        <v>1.84322185169353E-099</v>
      </c>
      <c r="D36" s="0" t="n">
        <v>2.64820474219792</v>
      </c>
      <c r="E36" s="40" t="n">
        <v>0</v>
      </c>
      <c r="G36" s="35" t="s">
        <v>427</v>
      </c>
      <c r="H36" s="0" t="n">
        <v>-3.32369601761182</v>
      </c>
      <c r="I36" s="0" t="n">
        <v>6.83090367226818E-082</v>
      </c>
      <c r="J36" s="0" t="n">
        <v>-3.38578944623197</v>
      </c>
      <c r="K36" s="40" t="n">
        <v>2.38249249982613E-028</v>
      </c>
    </row>
    <row r="37" customFormat="false" ht="13.8" hidden="false" customHeight="false" outlineLevel="0" collapsed="false">
      <c r="A37" s="35" t="s">
        <v>428</v>
      </c>
      <c r="B37" s="0" t="n">
        <v>1.79475240860609</v>
      </c>
      <c r="C37" s="0" t="n">
        <v>6.09146335602324E-062</v>
      </c>
      <c r="D37" s="0" t="n">
        <v>2.63853195573779</v>
      </c>
      <c r="E37" s="40" t="n">
        <v>3.8076893483726E-229</v>
      </c>
      <c r="G37" s="35" t="s">
        <v>429</v>
      </c>
      <c r="H37" s="0" t="n">
        <v>-1.6030182166927</v>
      </c>
      <c r="I37" s="0" t="n">
        <v>4.07361623057823E-135</v>
      </c>
      <c r="J37" s="0" t="n">
        <v>-3.32620701739841</v>
      </c>
      <c r="K37" s="40" t="n">
        <v>4.14805468808194E-100</v>
      </c>
    </row>
    <row r="38" customFormat="false" ht="13.8" hidden="false" customHeight="false" outlineLevel="0" collapsed="false">
      <c r="A38" s="35" t="s">
        <v>430</v>
      </c>
      <c r="B38" s="0" t="n">
        <v>0.848098640756218</v>
      </c>
      <c r="C38" s="0" t="n">
        <v>1.53586008091508E-016</v>
      </c>
      <c r="D38" s="0" t="n">
        <v>2.59935005057514</v>
      </c>
      <c r="E38" s="40" t="n">
        <v>0</v>
      </c>
      <c r="G38" s="35" t="s">
        <v>431</v>
      </c>
      <c r="H38" s="0" t="n">
        <v>-0.849587206194571</v>
      </c>
      <c r="I38" s="0" t="n">
        <v>2.7364013342062E-018</v>
      </c>
      <c r="J38" s="0" t="n">
        <v>-3.29196143632326</v>
      </c>
      <c r="K38" s="40" t="n">
        <v>3.91218652773191E-024</v>
      </c>
    </row>
    <row r="39" customFormat="false" ht="13.8" hidden="false" customHeight="false" outlineLevel="0" collapsed="false">
      <c r="A39" s="35" t="s">
        <v>432</v>
      </c>
      <c r="B39" s="0" t="n">
        <v>0.784774237020733</v>
      </c>
      <c r="C39" s="0" t="n">
        <v>1.74618674378489E-032</v>
      </c>
      <c r="D39" s="0" t="n">
        <v>2.52619134275127</v>
      </c>
      <c r="E39" s="40" t="n">
        <v>2.55513638482077E-008</v>
      </c>
      <c r="G39" s="35" t="s">
        <v>433</v>
      </c>
      <c r="H39" s="0" t="n">
        <v>-0.702279611814662</v>
      </c>
      <c r="I39" s="0" t="n">
        <v>6.98080014812099E-009</v>
      </c>
      <c r="J39" s="0" t="n">
        <v>-3.26799390858247</v>
      </c>
      <c r="K39" s="40" t="n">
        <v>3.75770145188104E-206</v>
      </c>
    </row>
    <row r="40" customFormat="false" ht="13.8" hidden="false" customHeight="false" outlineLevel="0" collapsed="false">
      <c r="A40" s="35" t="s">
        <v>434</v>
      </c>
      <c r="B40" s="0" t="n">
        <v>1.06589589278968</v>
      </c>
      <c r="C40" s="0" t="n">
        <v>5.15839008139543E-018</v>
      </c>
      <c r="D40" s="0" t="n">
        <v>2.51778838753874</v>
      </c>
      <c r="E40" s="40" t="n">
        <v>8.12644814651514E-005</v>
      </c>
      <c r="G40" s="35" t="s">
        <v>435</v>
      </c>
      <c r="H40" s="0" t="n">
        <v>-2.10491860444766</v>
      </c>
      <c r="I40" s="0" t="n">
        <v>6.67461222996724E-069</v>
      </c>
      <c r="J40" s="0" t="n">
        <v>-3.15032851180692</v>
      </c>
      <c r="K40" s="40" t="n">
        <v>3.80106362756899E-015</v>
      </c>
    </row>
    <row r="41" customFormat="false" ht="13.8" hidden="false" customHeight="false" outlineLevel="0" collapsed="false">
      <c r="A41" s="35" t="s">
        <v>436</v>
      </c>
      <c r="B41" s="0" t="n">
        <v>0.539917360877774</v>
      </c>
      <c r="C41" s="0" t="n">
        <v>1.45703028600065E-229</v>
      </c>
      <c r="D41" s="0" t="n">
        <v>2.49312936991122</v>
      </c>
      <c r="E41" s="40" t="n">
        <v>0</v>
      </c>
      <c r="G41" s="35" t="s">
        <v>437</v>
      </c>
      <c r="H41" s="0" t="n">
        <v>-1.01013233776662</v>
      </c>
      <c r="I41" s="0" t="n">
        <v>5.32579779013165E-011</v>
      </c>
      <c r="J41" s="0" t="n">
        <v>-3.14600556053086</v>
      </c>
      <c r="K41" s="40" t="n">
        <v>1.75276626811028E-084</v>
      </c>
    </row>
    <row r="42" customFormat="false" ht="13.8" hidden="false" customHeight="false" outlineLevel="0" collapsed="false">
      <c r="A42" s="35" t="s">
        <v>438</v>
      </c>
      <c r="B42" s="0" t="n">
        <v>1.05202372275328</v>
      </c>
      <c r="C42" s="0" t="n">
        <v>3.76938591536904E-092</v>
      </c>
      <c r="D42" s="0" t="n">
        <v>2.43388789778691</v>
      </c>
      <c r="E42" s="40" t="n">
        <v>1.59641628322112E-179</v>
      </c>
      <c r="G42" s="35" t="s">
        <v>439</v>
      </c>
      <c r="H42" s="0" t="n">
        <v>-0.923645692637465</v>
      </c>
      <c r="I42" s="0" t="n">
        <v>9.43605058968174E-022</v>
      </c>
      <c r="J42" s="0" t="n">
        <v>-3.10404802464578</v>
      </c>
      <c r="K42" s="40" t="n">
        <v>1.26177446413959E-110</v>
      </c>
    </row>
    <row r="43" customFormat="false" ht="13.8" hidden="false" customHeight="false" outlineLevel="0" collapsed="false">
      <c r="A43" s="35" t="s">
        <v>440</v>
      </c>
      <c r="B43" s="0" t="n">
        <v>1.42762814736049</v>
      </c>
      <c r="C43" s="0" t="n">
        <v>0</v>
      </c>
      <c r="D43" s="0" t="n">
        <v>2.39886969848199</v>
      </c>
      <c r="E43" s="40" t="n">
        <v>0</v>
      </c>
      <c r="G43" s="35" t="s">
        <v>441</v>
      </c>
      <c r="H43" s="0" t="n">
        <v>-0.869533590777525</v>
      </c>
      <c r="I43" s="0" t="n">
        <v>5.78411624841744E-008</v>
      </c>
      <c r="J43" s="0" t="n">
        <v>-3.04076142477784</v>
      </c>
      <c r="K43" s="40" t="n">
        <v>2.77540330959944E-063</v>
      </c>
    </row>
    <row r="44" customFormat="false" ht="13.8" hidden="false" customHeight="false" outlineLevel="0" collapsed="false">
      <c r="A44" s="35" t="s">
        <v>442</v>
      </c>
      <c r="B44" s="0" t="n">
        <v>0.788516487035696</v>
      </c>
      <c r="C44" s="0" t="n">
        <v>1.41615865524494E-010</v>
      </c>
      <c r="D44" s="0" t="n">
        <v>2.38667825718219</v>
      </c>
      <c r="E44" s="40" t="n">
        <v>1.74835156550049E-048</v>
      </c>
      <c r="G44" s="35" t="s">
        <v>443</v>
      </c>
      <c r="H44" s="0" t="n">
        <v>-2.03241382142119</v>
      </c>
      <c r="I44" s="0" t="n">
        <v>2.29346818747633E-105</v>
      </c>
      <c r="J44" s="0" t="n">
        <v>-2.95950316582295</v>
      </c>
      <c r="K44" s="40" t="n">
        <v>1.52875797748112E-095</v>
      </c>
    </row>
    <row r="45" customFormat="false" ht="13.8" hidden="false" customHeight="false" outlineLevel="0" collapsed="false">
      <c r="A45" s="35" t="s">
        <v>444</v>
      </c>
      <c r="B45" s="0" t="n">
        <v>1.254974250161</v>
      </c>
      <c r="C45" s="0" t="n">
        <v>3.606017849105E-089</v>
      </c>
      <c r="D45" s="0" t="n">
        <v>2.38644122153406</v>
      </c>
      <c r="E45" s="40" t="n">
        <v>0</v>
      </c>
      <c r="G45" s="35" t="s">
        <v>445</v>
      </c>
      <c r="H45" s="0" t="n">
        <v>-2.69488283791006</v>
      </c>
      <c r="I45" s="0" t="n">
        <v>1.00055045874034E-178</v>
      </c>
      <c r="J45" s="0" t="n">
        <v>-2.9344767250755</v>
      </c>
      <c r="K45" s="40" t="n">
        <v>5.13537843945131E-027</v>
      </c>
    </row>
    <row r="46" customFormat="false" ht="13.8" hidden="false" customHeight="false" outlineLevel="0" collapsed="false">
      <c r="A46" s="35" t="s">
        <v>446</v>
      </c>
      <c r="B46" s="0" t="n">
        <v>0.611885851361093</v>
      </c>
      <c r="C46" s="0" t="n">
        <v>1.30299423471501E-050</v>
      </c>
      <c r="D46" s="0" t="n">
        <v>2.38554161535179</v>
      </c>
      <c r="E46" s="40" t="n">
        <v>1.60019692004671E-245</v>
      </c>
      <c r="G46" s="35" t="s">
        <v>447</v>
      </c>
      <c r="H46" s="0" t="n">
        <v>-1.01581735121326</v>
      </c>
      <c r="I46" s="0" t="n">
        <v>1.02752359576317E-063</v>
      </c>
      <c r="J46" s="0" t="n">
        <v>-2.91610090098013</v>
      </c>
      <c r="K46" s="40" t="n">
        <v>1.20362730656227E-043</v>
      </c>
    </row>
    <row r="47" customFormat="false" ht="13.8" hidden="false" customHeight="false" outlineLevel="0" collapsed="false">
      <c r="A47" s="35" t="s">
        <v>448</v>
      </c>
      <c r="B47" s="0" t="n">
        <v>1.27707985885853</v>
      </c>
      <c r="C47" s="0" t="n">
        <v>6.37292601798298E-029</v>
      </c>
      <c r="D47" s="0" t="n">
        <v>2.35369733234401</v>
      </c>
      <c r="E47" s="40" t="n">
        <v>1.84480928633489E-055</v>
      </c>
      <c r="G47" s="35" t="s">
        <v>449</v>
      </c>
      <c r="H47" s="0" t="n">
        <v>-0.40840851493024</v>
      </c>
      <c r="I47" s="0" t="n">
        <v>4.7920435765241E-024</v>
      </c>
      <c r="J47" s="0" t="n">
        <v>-2.90251886758565</v>
      </c>
      <c r="K47" s="40" t="n">
        <v>0</v>
      </c>
    </row>
    <row r="48" customFormat="false" ht="13.8" hidden="false" customHeight="false" outlineLevel="0" collapsed="false">
      <c r="A48" s="35" t="s">
        <v>450</v>
      </c>
      <c r="B48" s="0" t="n">
        <v>0.29966349175432</v>
      </c>
      <c r="C48" s="0" t="n">
        <v>5.15764228020368E-007</v>
      </c>
      <c r="D48" s="0" t="n">
        <v>2.34900594380739</v>
      </c>
      <c r="E48" s="40" t="n">
        <v>1.72565723271112E-100</v>
      </c>
      <c r="G48" s="35" t="s">
        <v>451</v>
      </c>
      <c r="H48" s="0" t="n">
        <v>-2.43704551406027</v>
      </c>
      <c r="I48" s="0" t="n">
        <v>0</v>
      </c>
      <c r="J48" s="0" t="n">
        <v>-2.87811631650261</v>
      </c>
      <c r="K48" s="40" t="n">
        <v>0</v>
      </c>
    </row>
    <row r="49" customFormat="false" ht="13.8" hidden="false" customHeight="false" outlineLevel="0" collapsed="false">
      <c r="A49" s="35" t="s">
        <v>452</v>
      </c>
      <c r="B49" s="0" t="n">
        <v>0.223904149983996</v>
      </c>
      <c r="C49" s="0" t="n">
        <v>3.35077913598493E-038</v>
      </c>
      <c r="D49" s="0" t="n">
        <v>2.31066436226187</v>
      </c>
      <c r="E49" s="40" t="n">
        <v>6.70401467278234E-119</v>
      </c>
      <c r="G49" s="35" t="s">
        <v>453</v>
      </c>
      <c r="H49" s="0" t="n">
        <v>-0.692721281339872</v>
      </c>
      <c r="I49" s="0" t="n">
        <v>7.23592794701905E-138</v>
      </c>
      <c r="J49" s="0" t="n">
        <v>-2.83595419216313</v>
      </c>
      <c r="K49" s="40" t="n">
        <v>5.61154468110033E-299</v>
      </c>
    </row>
    <row r="50" customFormat="false" ht="13.8" hidden="false" customHeight="false" outlineLevel="0" collapsed="false">
      <c r="A50" s="35" t="s">
        <v>454</v>
      </c>
      <c r="B50" s="0" t="n">
        <v>0.482184198327405</v>
      </c>
      <c r="C50" s="0" t="n">
        <v>0</v>
      </c>
      <c r="D50" s="0" t="n">
        <v>2.27458178909852</v>
      </c>
      <c r="E50" s="40" t="n">
        <v>0</v>
      </c>
      <c r="G50" s="35" t="s">
        <v>455</v>
      </c>
      <c r="H50" s="0" t="n">
        <v>-0.660428282799789</v>
      </c>
      <c r="I50" s="0" t="n">
        <v>8.89427562261574E-028</v>
      </c>
      <c r="J50" s="0" t="n">
        <v>-2.80714120174947</v>
      </c>
      <c r="K50" s="40" t="n">
        <v>1.19359052330099E-034</v>
      </c>
    </row>
    <row r="51" customFormat="false" ht="13.8" hidden="false" customHeight="false" outlineLevel="0" collapsed="false">
      <c r="A51" s="35" t="s">
        <v>456</v>
      </c>
      <c r="B51" s="0" t="n">
        <v>1.47447289728356</v>
      </c>
      <c r="C51" s="0" t="n">
        <v>1.61373389479003E-054</v>
      </c>
      <c r="D51" s="0" t="n">
        <v>2.24014852141138</v>
      </c>
      <c r="E51" s="40" t="n">
        <v>6.05705240388561E-091</v>
      </c>
      <c r="G51" s="35" t="s">
        <v>457</v>
      </c>
      <c r="H51" s="0" t="n">
        <v>-0.459241788101333</v>
      </c>
      <c r="I51" s="0" t="n">
        <v>0.000758376679784771</v>
      </c>
      <c r="J51" s="0" t="n">
        <v>-2.80018726257212</v>
      </c>
      <c r="K51" s="40" t="n">
        <v>6.57050726354933E-058</v>
      </c>
    </row>
    <row r="52" customFormat="false" ht="13.8" hidden="false" customHeight="false" outlineLevel="0" collapsed="false">
      <c r="A52" s="35" t="s">
        <v>458</v>
      </c>
      <c r="B52" s="0" t="n">
        <v>1.38788276946118</v>
      </c>
      <c r="C52" s="0" t="n">
        <v>2.73349396556869E-073</v>
      </c>
      <c r="D52" s="0" t="n">
        <v>2.22596280966762</v>
      </c>
      <c r="E52" s="40" t="n">
        <v>2.31368350108993E-005</v>
      </c>
      <c r="G52" s="35" t="s">
        <v>459</v>
      </c>
      <c r="H52" s="0" t="n">
        <v>-0.729813513194968</v>
      </c>
      <c r="I52" s="0" t="n">
        <v>4.80919157566632E-035</v>
      </c>
      <c r="J52" s="0" t="n">
        <v>-2.79205443742305</v>
      </c>
      <c r="K52" s="40" t="n">
        <v>5.55182221905343E-066</v>
      </c>
    </row>
    <row r="53" customFormat="false" ht="13.8" hidden="false" customHeight="false" outlineLevel="0" collapsed="false">
      <c r="A53" s="35" t="s">
        <v>460</v>
      </c>
      <c r="B53" s="0" t="n">
        <v>1.14739711150046</v>
      </c>
      <c r="C53" s="0" t="n">
        <v>2.16418585402809E-198</v>
      </c>
      <c r="D53" s="0" t="n">
        <v>2.14257851680565</v>
      </c>
      <c r="E53" s="40" t="n">
        <v>2.27348470195569E-060</v>
      </c>
      <c r="G53" s="35" t="s">
        <v>461</v>
      </c>
      <c r="H53" s="0" t="n">
        <v>-0.99342564384409</v>
      </c>
      <c r="I53" s="0" t="n">
        <v>2.92291546600893E-137</v>
      </c>
      <c r="J53" s="0" t="n">
        <v>-2.78342539809356</v>
      </c>
      <c r="K53" s="40" t="n">
        <v>0</v>
      </c>
    </row>
    <row r="54" customFormat="false" ht="13.8" hidden="false" customHeight="false" outlineLevel="0" collapsed="false">
      <c r="A54" s="35" t="s">
        <v>462</v>
      </c>
      <c r="B54" s="0" t="n">
        <v>0.423882078820241</v>
      </c>
      <c r="C54" s="0" t="n">
        <v>1.42689125803329E-011</v>
      </c>
      <c r="D54" s="0" t="n">
        <v>2.13866152101512</v>
      </c>
      <c r="E54" s="40" t="n">
        <v>4.04196185566039E-009</v>
      </c>
      <c r="G54" s="35" t="s">
        <v>463</v>
      </c>
      <c r="H54" s="0" t="n">
        <v>-1.5113988688676</v>
      </c>
      <c r="I54" s="0" t="n">
        <v>8.70478465343117E-146</v>
      </c>
      <c r="J54" s="0" t="n">
        <v>-2.77817137728764</v>
      </c>
      <c r="K54" s="40" t="n">
        <v>2.13169422260263E-153</v>
      </c>
    </row>
    <row r="55" customFormat="false" ht="13.8" hidden="false" customHeight="false" outlineLevel="0" collapsed="false">
      <c r="A55" s="35" t="s">
        <v>464</v>
      </c>
      <c r="B55" s="0" t="n">
        <v>0.547728218047819</v>
      </c>
      <c r="C55" s="0" t="n">
        <v>9.65068100101346E-007</v>
      </c>
      <c r="D55" s="0" t="n">
        <v>2.13355262226246</v>
      </c>
      <c r="E55" s="40" t="n">
        <v>6.69616176668283E-034</v>
      </c>
      <c r="G55" s="35" t="s">
        <v>465</v>
      </c>
      <c r="H55" s="0" t="n">
        <v>-0.459336895369642</v>
      </c>
      <c r="I55" s="0" t="n">
        <v>1.00362543927489E-142</v>
      </c>
      <c r="J55" s="0" t="n">
        <v>-2.75356661416308</v>
      </c>
      <c r="K55" s="40" t="n">
        <v>9.16403251961408E-194</v>
      </c>
    </row>
    <row r="56" customFormat="false" ht="13.8" hidden="false" customHeight="false" outlineLevel="0" collapsed="false">
      <c r="A56" s="35" t="s">
        <v>466</v>
      </c>
      <c r="B56" s="0" t="n">
        <v>0.707762762197519</v>
      </c>
      <c r="C56" s="0" t="n">
        <v>4.97705441552859E-047</v>
      </c>
      <c r="D56" s="0" t="n">
        <v>2.12309468879855</v>
      </c>
      <c r="E56" s="40" t="n">
        <v>5.64805815307251E-033</v>
      </c>
      <c r="G56" s="35" t="s">
        <v>467</v>
      </c>
      <c r="H56" s="0" t="n">
        <v>-0.789061122294878</v>
      </c>
      <c r="I56" s="0" t="n">
        <v>1.38651315785054E-013</v>
      </c>
      <c r="J56" s="0" t="n">
        <v>-2.71736101754085</v>
      </c>
      <c r="K56" s="40" t="n">
        <v>3.24535564465486E-027</v>
      </c>
    </row>
    <row r="57" customFormat="false" ht="13.8" hidden="false" customHeight="false" outlineLevel="0" collapsed="false">
      <c r="A57" s="35" t="s">
        <v>468</v>
      </c>
      <c r="B57" s="0" t="n">
        <v>0.20249131868291</v>
      </c>
      <c r="C57" s="0" t="n">
        <v>0.000366382105479307</v>
      </c>
      <c r="D57" s="0" t="n">
        <v>2.11480164918977</v>
      </c>
      <c r="E57" s="40" t="n">
        <v>4.45659801270173E-280</v>
      </c>
      <c r="G57" s="35" t="s">
        <v>469</v>
      </c>
      <c r="H57" s="0" t="n">
        <v>-0.643238599955865</v>
      </c>
      <c r="I57" s="0" t="n">
        <v>1.56737165837033E-044</v>
      </c>
      <c r="J57" s="0" t="n">
        <v>-2.71631225982003</v>
      </c>
      <c r="K57" s="40" t="n">
        <v>3.62106470264618E-203</v>
      </c>
    </row>
    <row r="58" customFormat="false" ht="13.8" hidden="false" customHeight="false" outlineLevel="0" collapsed="false">
      <c r="A58" s="35" t="s">
        <v>470</v>
      </c>
      <c r="B58" s="0" t="n">
        <v>0.857539775596116</v>
      </c>
      <c r="C58" s="0" t="n">
        <v>2.51727521993767E-081</v>
      </c>
      <c r="D58" s="0" t="n">
        <v>2.08310351035536</v>
      </c>
      <c r="E58" s="40" t="n">
        <v>8.195481515661E-151</v>
      </c>
      <c r="G58" s="35" t="s">
        <v>471</v>
      </c>
      <c r="H58" s="0" t="n">
        <v>-1.35147673720157</v>
      </c>
      <c r="I58" s="0" t="n">
        <v>3.31015639835108E-086</v>
      </c>
      <c r="J58" s="0" t="n">
        <v>-2.71521987604955</v>
      </c>
      <c r="K58" s="40" t="n">
        <v>1.5783391393015E-188</v>
      </c>
    </row>
    <row r="59" customFormat="false" ht="13.8" hidden="false" customHeight="false" outlineLevel="0" collapsed="false">
      <c r="A59" s="35" t="s">
        <v>472</v>
      </c>
      <c r="B59" s="0" t="n">
        <v>0.267965251779997</v>
      </c>
      <c r="C59" s="0" t="n">
        <v>2.04093020384068E-012</v>
      </c>
      <c r="D59" s="0" t="n">
        <v>2.06938470411002</v>
      </c>
      <c r="E59" s="40" t="n">
        <v>2.09810413832053E-076</v>
      </c>
      <c r="G59" s="35" t="s">
        <v>473</v>
      </c>
      <c r="H59" s="0" t="n">
        <v>-0.973674759707651</v>
      </c>
      <c r="I59" s="0" t="n">
        <v>4.71520280848658E-160</v>
      </c>
      <c r="J59" s="0" t="n">
        <v>-2.71417065175443</v>
      </c>
      <c r="K59" s="40" t="n">
        <v>1.12528042859174E-076</v>
      </c>
    </row>
    <row r="60" customFormat="false" ht="13.8" hidden="false" customHeight="false" outlineLevel="0" collapsed="false">
      <c r="A60" s="35" t="s">
        <v>474</v>
      </c>
      <c r="B60" s="0" t="n">
        <v>0.512727696845221</v>
      </c>
      <c r="C60" s="0" t="n">
        <v>2.18875807478799E-049</v>
      </c>
      <c r="D60" s="0" t="n">
        <v>2.0677140837321</v>
      </c>
      <c r="E60" s="40" t="n">
        <v>5.05811189306991E-020</v>
      </c>
      <c r="G60" s="35" t="s">
        <v>475</v>
      </c>
      <c r="H60" s="0" t="n">
        <v>-2.1026212566058</v>
      </c>
      <c r="I60" s="0" t="n">
        <v>2.41562520604381E-060</v>
      </c>
      <c r="J60" s="0" t="n">
        <v>-2.69792682979864</v>
      </c>
      <c r="K60" s="40" t="n">
        <v>2.64963548994759E-056</v>
      </c>
    </row>
    <row r="61" customFormat="false" ht="13.8" hidden="false" customHeight="false" outlineLevel="0" collapsed="false">
      <c r="A61" s="35" t="s">
        <v>476</v>
      </c>
      <c r="B61" s="0" t="n">
        <v>0.851353137775658</v>
      </c>
      <c r="C61" s="0" t="n">
        <v>4.80635106277851E-011</v>
      </c>
      <c r="D61" s="0" t="n">
        <v>2.06251777032779</v>
      </c>
      <c r="E61" s="40" t="n">
        <v>3.11277362827233E-035</v>
      </c>
      <c r="G61" s="35" t="s">
        <v>477</v>
      </c>
      <c r="H61" s="0" t="n">
        <v>-0.497273386906378</v>
      </c>
      <c r="I61" s="0" t="n">
        <v>3.48374611192651E-013</v>
      </c>
      <c r="J61" s="0" t="n">
        <v>-2.69392609892476</v>
      </c>
      <c r="K61" s="40" t="n">
        <v>1.59463683718509E-028</v>
      </c>
    </row>
    <row r="62" customFormat="false" ht="13.8" hidden="false" customHeight="false" outlineLevel="0" collapsed="false">
      <c r="A62" s="35" t="s">
        <v>478</v>
      </c>
      <c r="B62" s="0" t="n">
        <v>0.289002428105404</v>
      </c>
      <c r="C62" s="0" t="n">
        <v>0.000881658459348308</v>
      </c>
      <c r="D62" s="0" t="n">
        <v>2.05806235390938</v>
      </c>
      <c r="E62" s="40" t="n">
        <v>8.80884006007741E-027</v>
      </c>
      <c r="G62" s="35" t="s">
        <v>479</v>
      </c>
      <c r="H62" s="0" t="n">
        <v>-0.62088489788242</v>
      </c>
      <c r="I62" s="0" t="n">
        <v>9.69919714510059E-035</v>
      </c>
      <c r="J62" s="0" t="n">
        <v>-2.68496776107823</v>
      </c>
      <c r="K62" s="40" t="n">
        <v>0</v>
      </c>
    </row>
    <row r="63" customFormat="false" ht="13.8" hidden="false" customHeight="false" outlineLevel="0" collapsed="false">
      <c r="A63" s="35" t="s">
        <v>480</v>
      </c>
      <c r="B63" s="0" t="n">
        <v>0.811459204049053</v>
      </c>
      <c r="C63" s="0" t="n">
        <v>2.63281740681935E-043</v>
      </c>
      <c r="D63" s="0" t="n">
        <v>2.03326610542004</v>
      </c>
      <c r="E63" s="40" t="n">
        <v>3.66378387958662E-016</v>
      </c>
      <c r="G63" s="35" t="s">
        <v>481</v>
      </c>
      <c r="H63" s="0" t="n">
        <v>-1.13091058848068</v>
      </c>
      <c r="I63" s="0" t="n">
        <v>7.01393699382198E-209</v>
      </c>
      <c r="J63" s="0" t="n">
        <v>-2.67515767720091</v>
      </c>
      <c r="K63" s="40" t="n">
        <v>1.24836498209078E-175</v>
      </c>
    </row>
    <row r="64" customFormat="false" ht="13.8" hidden="false" customHeight="false" outlineLevel="0" collapsed="false">
      <c r="A64" s="35" t="s">
        <v>482</v>
      </c>
      <c r="B64" s="0" t="n">
        <v>0.852661755528862</v>
      </c>
      <c r="C64" s="0" t="n">
        <v>2.17808249460327E-023</v>
      </c>
      <c r="D64" s="0" t="n">
        <v>2.03017917739392</v>
      </c>
      <c r="E64" s="40" t="n">
        <v>4.17833342571639E-054</v>
      </c>
      <c r="G64" s="35" t="s">
        <v>483</v>
      </c>
      <c r="H64" s="0" t="n">
        <v>-0.253100394824643</v>
      </c>
      <c r="I64" s="0" t="n">
        <v>0.000188319887278104</v>
      </c>
      <c r="J64" s="0" t="n">
        <v>-2.62445274566185</v>
      </c>
      <c r="K64" s="40" t="n">
        <v>6.73163433956819E-263</v>
      </c>
    </row>
    <row r="65" customFormat="false" ht="13.8" hidden="false" customHeight="false" outlineLevel="0" collapsed="false">
      <c r="A65" s="35" t="s">
        <v>484</v>
      </c>
      <c r="B65" s="0" t="n">
        <v>0.940638297910265</v>
      </c>
      <c r="C65" s="0" t="n">
        <v>0</v>
      </c>
      <c r="D65" s="0" t="n">
        <v>2.01840668726874</v>
      </c>
      <c r="E65" s="40" t="n">
        <v>1.94231918064016E-216</v>
      </c>
      <c r="G65" s="35" t="s">
        <v>485</v>
      </c>
      <c r="H65" s="0" t="n">
        <v>-1.56501174535986</v>
      </c>
      <c r="I65" s="0" t="n">
        <v>2.08054224551186E-011</v>
      </c>
      <c r="J65" s="0" t="n">
        <v>-2.60440589241059</v>
      </c>
      <c r="K65" s="40" t="n">
        <v>2.81652980002179E-061</v>
      </c>
    </row>
    <row r="66" customFormat="false" ht="13.8" hidden="false" customHeight="false" outlineLevel="0" collapsed="false">
      <c r="A66" s="35" t="s">
        <v>486</v>
      </c>
      <c r="B66" s="0" t="n">
        <v>0.617595257644997</v>
      </c>
      <c r="C66" s="0" t="n">
        <v>2.33482362999476E-218</v>
      </c>
      <c r="D66" s="0" t="n">
        <v>2.00028362918776</v>
      </c>
      <c r="E66" s="40" t="n">
        <v>5.02407518959995E-250</v>
      </c>
      <c r="G66" s="35" t="s">
        <v>487</v>
      </c>
      <c r="H66" s="0" t="n">
        <v>-0.926534128536443</v>
      </c>
      <c r="I66" s="0" t="n">
        <v>5.13849857473352E-242</v>
      </c>
      <c r="J66" s="0" t="n">
        <v>-2.58413191342665</v>
      </c>
      <c r="K66" s="40" t="n">
        <v>0</v>
      </c>
    </row>
    <row r="67" customFormat="false" ht="13.8" hidden="false" customHeight="false" outlineLevel="0" collapsed="false">
      <c r="A67" s="35" t="s">
        <v>488</v>
      </c>
      <c r="B67" s="0" t="n">
        <v>0.994536087656289</v>
      </c>
      <c r="C67" s="0" t="n">
        <v>1.58363258806524E-006</v>
      </c>
      <c r="D67" s="0" t="n">
        <v>1.97538384568493</v>
      </c>
      <c r="E67" s="40" t="n">
        <v>9.25588764887613E-010</v>
      </c>
      <c r="G67" s="35" t="s">
        <v>489</v>
      </c>
      <c r="H67" s="0" t="n">
        <v>-0.68829188321893</v>
      </c>
      <c r="I67" s="0" t="n">
        <v>1.57697977831646E-015</v>
      </c>
      <c r="J67" s="0" t="n">
        <v>-2.57065745281599</v>
      </c>
      <c r="K67" s="40" t="n">
        <v>5.15054209512513E-038</v>
      </c>
    </row>
    <row r="68" customFormat="false" ht="13.8" hidden="false" customHeight="false" outlineLevel="0" collapsed="false">
      <c r="A68" s="35" t="s">
        <v>490</v>
      </c>
      <c r="B68" s="0" t="n">
        <v>0.474171570754058</v>
      </c>
      <c r="C68" s="0" t="n">
        <v>2.14366244818862E-028</v>
      </c>
      <c r="D68" s="0" t="n">
        <v>1.96840157781748</v>
      </c>
      <c r="E68" s="40" t="n">
        <v>1.55036713584577E-172</v>
      </c>
      <c r="G68" s="35" t="s">
        <v>491</v>
      </c>
      <c r="H68" s="0" t="n">
        <v>-1.35364032439211</v>
      </c>
      <c r="I68" s="0" t="n">
        <v>3.13494694117724E-009</v>
      </c>
      <c r="J68" s="0" t="n">
        <v>-2.5554384878666</v>
      </c>
      <c r="K68" s="40" t="n">
        <v>8.76102875084027E-014</v>
      </c>
    </row>
    <row r="69" customFormat="false" ht="13.8" hidden="false" customHeight="false" outlineLevel="0" collapsed="false">
      <c r="A69" s="35" t="s">
        <v>492</v>
      </c>
      <c r="B69" s="0" t="n">
        <v>0.961313100187532</v>
      </c>
      <c r="C69" s="0" t="n">
        <v>6.99928185541679E-017</v>
      </c>
      <c r="D69" s="0" t="n">
        <v>1.94144549509328</v>
      </c>
      <c r="E69" s="40" t="n">
        <v>6.80092307675018E-036</v>
      </c>
      <c r="G69" s="35" t="s">
        <v>493</v>
      </c>
      <c r="H69" s="0" t="n">
        <v>-1.85399062939282</v>
      </c>
      <c r="I69" s="0" t="n">
        <v>1.17999155049126E-029</v>
      </c>
      <c r="J69" s="0" t="n">
        <v>-2.55393117950354</v>
      </c>
      <c r="K69" s="40" t="n">
        <v>5.67062512908402E-041</v>
      </c>
    </row>
    <row r="70" customFormat="false" ht="13.8" hidden="false" customHeight="false" outlineLevel="0" collapsed="false">
      <c r="A70" s="35" t="s">
        <v>494</v>
      </c>
      <c r="B70" s="0" t="n">
        <v>1.29640976188029</v>
      </c>
      <c r="C70" s="0" t="n">
        <v>8.021922089036E-151</v>
      </c>
      <c r="D70" s="0" t="n">
        <v>1.93851142401268</v>
      </c>
      <c r="E70" s="40" t="n">
        <v>2.23252695681014E-021</v>
      </c>
      <c r="G70" s="35" t="s">
        <v>495</v>
      </c>
      <c r="H70" s="0" t="n">
        <v>-0.616701722717153</v>
      </c>
      <c r="I70" s="0" t="n">
        <v>6.95674665832663E-011</v>
      </c>
      <c r="J70" s="0" t="n">
        <v>-2.54475711113696</v>
      </c>
      <c r="K70" s="40" t="n">
        <v>6.92934014349278E-109</v>
      </c>
    </row>
    <row r="71" customFormat="false" ht="13.8" hidden="false" customHeight="false" outlineLevel="0" collapsed="false">
      <c r="A71" s="35" t="s">
        <v>496</v>
      </c>
      <c r="B71" s="0" t="n">
        <v>1.84376364186908</v>
      </c>
      <c r="C71" s="0" t="n">
        <v>2.79856811717871E-137</v>
      </c>
      <c r="D71" s="0" t="n">
        <v>1.93438574390102</v>
      </c>
      <c r="E71" s="40" t="n">
        <v>9.02302376780839E-102</v>
      </c>
      <c r="G71" s="35" t="s">
        <v>497</v>
      </c>
      <c r="H71" s="0" t="n">
        <v>-1.13443401137481</v>
      </c>
      <c r="I71" s="0" t="n">
        <v>1.32957853919989E-026</v>
      </c>
      <c r="J71" s="0" t="n">
        <v>-2.53780636471995</v>
      </c>
      <c r="K71" s="40" t="n">
        <v>9.53601458137241E-044</v>
      </c>
    </row>
    <row r="72" customFormat="false" ht="13.8" hidden="false" customHeight="false" outlineLevel="0" collapsed="false">
      <c r="A72" s="35" t="s">
        <v>498</v>
      </c>
      <c r="B72" s="0" t="n">
        <v>0.553155794277412</v>
      </c>
      <c r="C72" s="0" t="n">
        <v>4.45376231574732E-006</v>
      </c>
      <c r="D72" s="0" t="n">
        <v>1.92878752120185</v>
      </c>
      <c r="E72" s="40" t="n">
        <v>2.68524745379319E-106</v>
      </c>
      <c r="G72" s="35" t="s">
        <v>499</v>
      </c>
      <c r="H72" s="0" t="n">
        <v>-3.57469271165336</v>
      </c>
      <c r="I72" s="0" t="n">
        <v>8.26662168686683E-147</v>
      </c>
      <c r="J72" s="0" t="n">
        <v>-2.52026065763667</v>
      </c>
      <c r="K72" s="40" t="n">
        <v>4.31071044516639E-030</v>
      </c>
    </row>
    <row r="73" customFormat="false" ht="13.8" hidden="false" customHeight="false" outlineLevel="0" collapsed="false">
      <c r="A73" s="35" t="s">
        <v>500</v>
      </c>
      <c r="B73" s="0" t="n">
        <v>1.35619344386467</v>
      </c>
      <c r="C73" s="0" t="n">
        <v>2.27662639537474E-072</v>
      </c>
      <c r="D73" s="0" t="n">
        <v>1.9213297654845</v>
      </c>
      <c r="E73" s="40" t="n">
        <v>1.28350751810901E-010</v>
      </c>
      <c r="G73" s="35" t="s">
        <v>501</v>
      </c>
      <c r="H73" s="0" t="n">
        <v>-2.15209781155903</v>
      </c>
      <c r="I73" s="0" t="n">
        <v>1.46807846547216E-038</v>
      </c>
      <c r="J73" s="0" t="n">
        <v>-2.52016248301193</v>
      </c>
      <c r="K73" s="40" t="n">
        <v>1.70000751380744E-018</v>
      </c>
    </row>
    <row r="74" customFormat="false" ht="13.8" hidden="false" customHeight="false" outlineLevel="0" collapsed="false">
      <c r="A74" s="35" t="s">
        <v>502</v>
      </c>
      <c r="B74" s="0" t="n">
        <v>1.7276859108705</v>
      </c>
      <c r="C74" s="0" t="n">
        <v>2.66024055443558E-015</v>
      </c>
      <c r="D74" s="0" t="n">
        <v>1.90184126327232</v>
      </c>
      <c r="E74" s="40" t="n">
        <v>3.54440445666384E-009</v>
      </c>
      <c r="G74" s="35" t="s">
        <v>503</v>
      </c>
      <c r="H74" s="0" t="n">
        <v>-1.0981648372989</v>
      </c>
      <c r="I74" s="0" t="n">
        <v>1.62495087518165E-030</v>
      </c>
      <c r="J74" s="0" t="n">
        <v>-2.52009291361298</v>
      </c>
      <c r="K74" s="40" t="n">
        <v>1.54851328404745E-107</v>
      </c>
    </row>
    <row r="75" customFormat="false" ht="13.8" hidden="false" customHeight="false" outlineLevel="0" collapsed="false">
      <c r="A75" s="35" t="s">
        <v>504</v>
      </c>
      <c r="B75" s="0" t="n">
        <v>0.659972157562963</v>
      </c>
      <c r="C75" s="0" t="n">
        <v>1.39421096052703E-223</v>
      </c>
      <c r="D75" s="0" t="n">
        <v>1.89950248029469</v>
      </c>
      <c r="E75" s="40" t="n">
        <v>1.62592665115255E-221</v>
      </c>
      <c r="G75" s="35" t="s">
        <v>505</v>
      </c>
      <c r="H75" s="0" t="n">
        <v>-0.711005081332286</v>
      </c>
      <c r="I75" s="0" t="n">
        <v>1.06878914699855E-023</v>
      </c>
      <c r="J75" s="0" t="n">
        <v>-2.51144576825941</v>
      </c>
      <c r="K75" s="40" t="n">
        <v>6.35852208986618E-177</v>
      </c>
    </row>
    <row r="76" customFormat="false" ht="13.8" hidden="false" customHeight="false" outlineLevel="0" collapsed="false">
      <c r="A76" s="35" t="s">
        <v>506</v>
      </c>
      <c r="B76" s="0" t="n">
        <v>1.28802963016102</v>
      </c>
      <c r="C76" s="0" t="n">
        <v>2.7100795856039E-050</v>
      </c>
      <c r="D76" s="0" t="n">
        <v>1.89938393667335</v>
      </c>
      <c r="E76" s="40" t="n">
        <v>4.43509463641885E-016</v>
      </c>
      <c r="G76" s="35" t="s">
        <v>507</v>
      </c>
      <c r="H76" s="0" t="n">
        <v>-2.00221624446584</v>
      </c>
      <c r="I76" s="0" t="n">
        <v>1.24069925563067E-119</v>
      </c>
      <c r="J76" s="0" t="n">
        <v>-2.48886706033287</v>
      </c>
      <c r="K76" s="40" t="n">
        <v>2.35721865293522E-012</v>
      </c>
    </row>
    <row r="77" customFormat="false" ht="13.8" hidden="false" customHeight="false" outlineLevel="0" collapsed="false">
      <c r="A77" s="35" t="s">
        <v>508</v>
      </c>
      <c r="B77" s="0" t="n">
        <v>1.0589916466794</v>
      </c>
      <c r="C77" s="0" t="n">
        <v>8.58426971530672E-158</v>
      </c>
      <c r="D77" s="0" t="n">
        <v>1.86488194866483</v>
      </c>
      <c r="E77" s="40" t="n">
        <v>2.09822411927075E-095</v>
      </c>
      <c r="G77" s="35" t="s">
        <v>509</v>
      </c>
      <c r="H77" s="0" t="n">
        <v>-0.578830518551447</v>
      </c>
      <c r="I77" s="0" t="n">
        <v>0.00401995429520782</v>
      </c>
      <c r="J77" s="0" t="n">
        <v>-2.45534504615937</v>
      </c>
      <c r="K77" s="40" t="n">
        <v>1.37036606301796E-017</v>
      </c>
    </row>
    <row r="78" customFormat="false" ht="13.8" hidden="false" customHeight="false" outlineLevel="0" collapsed="false">
      <c r="A78" s="35" t="s">
        <v>510</v>
      </c>
      <c r="B78" s="0" t="n">
        <v>0.903997878580411</v>
      </c>
      <c r="C78" s="0" t="n">
        <v>3.30292869805804E-273</v>
      </c>
      <c r="D78" s="0" t="n">
        <v>1.85941390342229</v>
      </c>
      <c r="E78" s="40" t="n">
        <v>6.75953274835732E-074</v>
      </c>
      <c r="G78" s="35" t="s">
        <v>511</v>
      </c>
      <c r="H78" s="0" t="n">
        <v>-1.42725546831313</v>
      </c>
      <c r="I78" s="0" t="n">
        <v>1.37856114041891E-043</v>
      </c>
      <c r="J78" s="0" t="n">
        <v>-2.43842465531346</v>
      </c>
      <c r="K78" s="40" t="n">
        <v>2.297285084117E-180</v>
      </c>
    </row>
    <row r="79" customFormat="false" ht="13.8" hidden="false" customHeight="false" outlineLevel="0" collapsed="false">
      <c r="A79" s="35" t="s">
        <v>512</v>
      </c>
      <c r="B79" s="0" t="n">
        <v>1.34767764538607</v>
      </c>
      <c r="C79" s="0" t="n">
        <v>1.04297397414495E-205</v>
      </c>
      <c r="D79" s="0" t="n">
        <v>1.85730644520976</v>
      </c>
      <c r="E79" s="40" t="n">
        <v>2.13462057807057E-062</v>
      </c>
      <c r="G79" s="35" t="s">
        <v>513</v>
      </c>
      <c r="H79" s="0" t="n">
        <v>-2.00553456522081</v>
      </c>
      <c r="I79" s="0" t="n">
        <v>5.71085452144574E-059</v>
      </c>
      <c r="J79" s="0" t="n">
        <v>-2.43170647076361</v>
      </c>
      <c r="K79" s="40" t="n">
        <v>1.80169542189687E-086</v>
      </c>
    </row>
    <row r="80" customFormat="false" ht="13.8" hidden="false" customHeight="false" outlineLevel="0" collapsed="false">
      <c r="A80" s="35" t="s">
        <v>514</v>
      </c>
      <c r="B80" s="0" t="n">
        <v>0.4920176204097</v>
      </c>
      <c r="C80" s="0" t="n">
        <v>2.341488755022E-064</v>
      </c>
      <c r="D80" s="0" t="n">
        <v>1.85698056125376</v>
      </c>
      <c r="E80" s="40" t="n">
        <v>3.96677481767058E-164</v>
      </c>
      <c r="G80" s="35" t="s">
        <v>515</v>
      </c>
      <c r="H80" s="0" t="n">
        <v>-0.287435795718427</v>
      </c>
      <c r="I80" s="0" t="n">
        <v>0.00206118226856538</v>
      </c>
      <c r="J80" s="0" t="n">
        <v>-2.42845911519956</v>
      </c>
      <c r="K80" s="40" t="n">
        <v>0</v>
      </c>
    </row>
    <row r="81" customFormat="false" ht="13.8" hidden="false" customHeight="false" outlineLevel="0" collapsed="false">
      <c r="A81" s="35" t="s">
        <v>516</v>
      </c>
      <c r="B81" s="0" t="n">
        <v>0.514940392693431</v>
      </c>
      <c r="C81" s="0" t="n">
        <v>8.88188581816003E-060</v>
      </c>
      <c r="D81" s="0" t="n">
        <v>1.84558426337435</v>
      </c>
      <c r="E81" s="40" t="n">
        <v>1.40429941434089E-084</v>
      </c>
      <c r="G81" s="35" t="s">
        <v>517</v>
      </c>
      <c r="H81" s="0" t="n">
        <v>-1.04966270877464</v>
      </c>
      <c r="I81" s="0" t="n">
        <v>0</v>
      </c>
      <c r="J81" s="0" t="n">
        <v>-2.4283699112362</v>
      </c>
      <c r="K81" s="40" t="n">
        <v>4.12313286929733E-292</v>
      </c>
    </row>
    <row r="82" customFormat="false" ht="13.8" hidden="false" customHeight="false" outlineLevel="0" collapsed="false">
      <c r="A82" s="35" t="s">
        <v>518</v>
      </c>
      <c r="B82" s="0" t="n">
        <v>0.124350200349541</v>
      </c>
      <c r="C82" s="0" t="n">
        <v>1.73688189843671E-017</v>
      </c>
      <c r="D82" s="0" t="n">
        <v>1.81009200788627</v>
      </c>
      <c r="E82" s="40" t="n">
        <v>5.77699925477044E-078</v>
      </c>
      <c r="G82" s="35" t="s">
        <v>519</v>
      </c>
      <c r="H82" s="0" t="n">
        <v>-0.674758836920357</v>
      </c>
      <c r="I82" s="0" t="n">
        <v>6.20845937853099E-068</v>
      </c>
      <c r="J82" s="0" t="n">
        <v>-2.41058659433519</v>
      </c>
      <c r="K82" s="40" t="n">
        <v>0</v>
      </c>
    </row>
    <row r="83" customFormat="false" ht="13.8" hidden="false" customHeight="false" outlineLevel="0" collapsed="false">
      <c r="A83" s="35" t="s">
        <v>520</v>
      </c>
      <c r="B83" s="0" t="n">
        <v>2.37412021059383</v>
      </c>
      <c r="C83" s="0" t="n">
        <v>0</v>
      </c>
      <c r="D83" s="0" t="n">
        <v>1.79511443755391</v>
      </c>
      <c r="E83" s="40" t="n">
        <v>5.72869811418292E-010</v>
      </c>
      <c r="G83" s="35" t="s">
        <v>521</v>
      </c>
      <c r="H83" s="0" t="n">
        <v>-1.44710060113103</v>
      </c>
      <c r="I83" s="0" t="n">
        <v>1.13009650224662E-045</v>
      </c>
      <c r="J83" s="0" t="n">
        <v>-2.37633322256692</v>
      </c>
      <c r="K83" s="40" t="n">
        <v>3.07447408191561E-010</v>
      </c>
    </row>
    <row r="84" customFormat="false" ht="13.8" hidden="false" customHeight="false" outlineLevel="0" collapsed="false">
      <c r="A84" s="35" t="s">
        <v>522</v>
      </c>
      <c r="B84" s="0" t="n">
        <v>0.553423479073659</v>
      </c>
      <c r="C84" s="0" t="n">
        <v>0.000319518500891395</v>
      </c>
      <c r="D84" s="0" t="n">
        <v>1.79304267188058</v>
      </c>
      <c r="E84" s="40" t="n">
        <v>1.52773573187012E-008</v>
      </c>
      <c r="G84" s="35" t="s">
        <v>523</v>
      </c>
      <c r="H84" s="0" t="n">
        <v>-0.815756365684756</v>
      </c>
      <c r="I84" s="0" t="n">
        <v>8.16223216407149E-015</v>
      </c>
      <c r="J84" s="0" t="n">
        <v>-2.36032271337209</v>
      </c>
      <c r="K84" s="40" t="n">
        <v>1.81568688329685E-063</v>
      </c>
    </row>
    <row r="85" customFormat="false" ht="13.8" hidden="false" customHeight="false" outlineLevel="0" collapsed="false">
      <c r="A85" s="35" t="s">
        <v>524</v>
      </c>
      <c r="B85" s="0" t="n">
        <v>0.131026447202537</v>
      </c>
      <c r="C85" s="0" t="n">
        <v>3.78482008188035E-019</v>
      </c>
      <c r="D85" s="0" t="n">
        <v>1.78157495749203</v>
      </c>
      <c r="E85" s="40" t="n">
        <v>0</v>
      </c>
      <c r="G85" s="35" t="s">
        <v>525</v>
      </c>
      <c r="H85" s="0" t="n">
        <v>-1.35818028937281</v>
      </c>
      <c r="I85" s="0" t="n">
        <v>7.37998277648964E-100</v>
      </c>
      <c r="J85" s="0" t="n">
        <v>-2.3516801218583</v>
      </c>
      <c r="K85" s="40" t="n">
        <v>1.55330241470667E-074</v>
      </c>
    </row>
    <row r="86" customFormat="false" ht="13.8" hidden="false" customHeight="false" outlineLevel="0" collapsed="false">
      <c r="A86" s="35" t="s">
        <v>526</v>
      </c>
      <c r="B86" s="0" t="n">
        <v>0.237319769012671</v>
      </c>
      <c r="C86" s="0" t="n">
        <v>2.86672409466215E-009</v>
      </c>
      <c r="D86" s="0" t="n">
        <v>1.7787651736362</v>
      </c>
      <c r="E86" s="40" t="n">
        <v>8.64420709444143E-101</v>
      </c>
      <c r="G86" s="35" t="s">
        <v>527</v>
      </c>
      <c r="H86" s="0" t="n">
        <v>-1.16232739260051</v>
      </c>
      <c r="I86" s="0" t="n">
        <v>1.73117285118082E-032</v>
      </c>
      <c r="J86" s="0" t="n">
        <v>-2.33335053560062</v>
      </c>
      <c r="K86" s="40" t="n">
        <v>3.21921095935889E-082</v>
      </c>
    </row>
    <row r="87" customFormat="false" ht="13.8" hidden="false" customHeight="false" outlineLevel="0" collapsed="false">
      <c r="A87" s="35" t="s">
        <v>528</v>
      </c>
      <c r="B87" s="0" t="n">
        <v>0.66572255428786</v>
      </c>
      <c r="C87" s="0" t="n">
        <v>4.40884974134886E-014</v>
      </c>
      <c r="D87" s="0" t="n">
        <v>1.77257978269177</v>
      </c>
      <c r="E87" s="40" t="n">
        <v>4.62495273972734E-080</v>
      </c>
      <c r="G87" s="35" t="s">
        <v>529</v>
      </c>
      <c r="H87" s="0" t="n">
        <v>-1.0156549364267</v>
      </c>
      <c r="I87" s="0" t="n">
        <v>0</v>
      </c>
      <c r="J87" s="0" t="n">
        <v>-2.31384905473586</v>
      </c>
      <c r="K87" s="40" t="n">
        <v>1.02862707493154E-227</v>
      </c>
    </row>
    <row r="88" customFormat="false" ht="13.8" hidden="false" customHeight="false" outlineLevel="0" collapsed="false">
      <c r="A88" s="35" t="s">
        <v>530</v>
      </c>
      <c r="B88" s="0" t="n">
        <v>1.88549187517756</v>
      </c>
      <c r="C88" s="0" t="n">
        <v>2.42866101797351E-064</v>
      </c>
      <c r="D88" s="0" t="n">
        <v>1.75614318396313</v>
      </c>
      <c r="E88" s="40" t="n">
        <v>8.80618242031576E-088</v>
      </c>
      <c r="G88" s="35" t="s">
        <v>531</v>
      </c>
      <c r="H88" s="0" t="n">
        <v>-1.15772611632145</v>
      </c>
      <c r="I88" s="0" t="n">
        <v>1.13026468622987E-028</v>
      </c>
      <c r="J88" s="0" t="n">
        <v>-2.29589224101219</v>
      </c>
      <c r="K88" s="40" t="n">
        <v>3.41468352445878E-028</v>
      </c>
    </row>
    <row r="89" customFormat="false" ht="13.8" hidden="false" customHeight="false" outlineLevel="0" collapsed="false">
      <c r="A89" s="35" t="s">
        <v>532</v>
      </c>
      <c r="B89" s="0" t="n">
        <v>1.10527418313002</v>
      </c>
      <c r="C89" s="0" t="n">
        <v>1.51190081426216E-291</v>
      </c>
      <c r="D89" s="0" t="n">
        <v>1.73431502387355</v>
      </c>
      <c r="E89" s="40" t="n">
        <v>5.60671036620448E-052</v>
      </c>
      <c r="G89" s="35" t="s">
        <v>533</v>
      </c>
      <c r="H89" s="0" t="n">
        <v>-0.580531739079501</v>
      </c>
      <c r="I89" s="0" t="n">
        <v>3.48943231892647E-031</v>
      </c>
      <c r="J89" s="0" t="n">
        <v>-2.28371284752477</v>
      </c>
      <c r="K89" s="40" t="n">
        <v>1.11828210371966E-010</v>
      </c>
    </row>
    <row r="90" customFormat="false" ht="13.8" hidden="false" customHeight="false" outlineLevel="0" collapsed="false">
      <c r="A90" s="35" t="s">
        <v>534</v>
      </c>
      <c r="B90" s="0" t="n">
        <v>0.481192113157165</v>
      </c>
      <c r="C90" s="0" t="n">
        <v>2.27109932416442E-028</v>
      </c>
      <c r="D90" s="0" t="n">
        <v>1.73107119052616</v>
      </c>
      <c r="E90" s="40" t="n">
        <v>5.70964966833138E-109</v>
      </c>
      <c r="G90" s="35" t="s">
        <v>535</v>
      </c>
      <c r="H90" s="0" t="n">
        <v>-1.02257802392883</v>
      </c>
      <c r="I90" s="0" t="n">
        <v>2.61184153267754E-012</v>
      </c>
      <c r="J90" s="0" t="n">
        <v>-2.27624665192554</v>
      </c>
      <c r="K90" s="40" t="n">
        <v>4.06034254959749E-010</v>
      </c>
    </row>
    <row r="91" customFormat="false" ht="13.8" hidden="false" customHeight="false" outlineLevel="0" collapsed="false">
      <c r="A91" s="35" t="s">
        <v>536</v>
      </c>
      <c r="B91" s="0" t="n">
        <v>1.31698920070682</v>
      </c>
      <c r="C91" s="0" t="n">
        <v>3.49136289041706E-009</v>
      </c>
      <c r="D91" s="0" t="n">
        <v>1.71675135454861</v>
      </c>
      <c r="E91" s="40" t="n">
        <v>5.96966624841847E-008</v>
      </c>
      <c r="G91" s="35" t="s">
        <v>537</v>
      </c>
      <c r="H91" s="0" t="n">
        <v>-0.814550593277449</v>
      </c>
      <c r="I91" s="0" t="n">
        <v>9.7046647142434E-293</v>
      </c>
      <c r="J91" s="0" t="n">
        <v>-2.23727956276564</v>
      </c>
      <c r="K91" s="40" t="n">
        <v>5.60337780529908E-181</v>
      </c>
    </row>
    <row r="92" customFormat="false" ht="13.8" hidden="false" customHeight="false" outlineLevel="0" collapsed="false">
      <c r="A92" s="35" t="s">
        <v>538</v>
      </c>
      <c r="B92" s="0" t="n">
        <v>0.868357105533527</v>
      </c>
      <c r="C92" s="0" t="n">
        <v>3.48829415370696E-044</v>
      </c>
      <c r="D92" s="0" t="n">
        <v>1.69277281014793</v>
      </c>
      <c r="E92" s="40" t="n">
        <v>3.69662217436985E-025</v>
      </c>
      <c r="G92" s="35" t="s">
        <v>539</v>
      </c>
      <c r="H92" s="0" t="n">
        <v>-1.5529249819277</v>
      </c>
      <c r="I92" s="0" t="n">
        <v>2.9898507694885E-067</v>
      </c>
      <c r="J92" s="0" t="n">
        <v>-2.19188837184817</v>
      </c>
      <c r="K92" s="40" t="n">
        <v>3.85352941002922E-041</v>
      </c>
    </row>
    <row r="93" customFormat="false" ht="13.8" hidden="false" customHeight="false" outlineLevel="0" collapsed="false">
      <c r="A93" s="35" t="s">
        <v>540</v>
      </c>
      <c r="B93" s="0" t="n">
        <v>1.09292550482745</v>
      </c>
      <c r="C93" s="0" t="n">
        <v>1.31850739618208E-045</v>
      </c>
      <c r="D93" s="0" t="n">
        <v>1.67092464719161</v>
      </c>
      <c r="E93" s="40" t="n">
        <v>5.91393753413956E-033</v>
      </c>
      <c r="G93" s="35" t="s">
        <v>541</v>
      </c>
      <c r="H93" s="0" t="n">
        <v>-0.787055893777985</v>
      </c>
      <c r="I93" s="0" t="n">
        <v>4.7190500406303E-028</v>
      </c>
      <c r="J93" s="0" t="n">
        <v>-2.17659804375596</v>
      </c>
      <c r="K93" s="40" t="n">
        <v>2.71095481762719E-050</v>
      </c>
    </row>
    <row r="94" customFormat="false" ht="13.8" hidden="false" customHeight="false" outlineLevel="0" collapsed="false">
      <c r="A94" s="35" t="s">
        <v>542</v>
      </c>
      <c r="B94" s="0" t="n">
        <v>0.697779313007619</v>
      </c>
      <c r="C94" s="0" t="n">
        <v>5.75777993235423E-077</v>
      </c>
      <c r="D94" s="0" t="n">
        <v>1.66511866782416</v>
      </c>
      <c r="E94" s="40" t="n">
        <v>1.63490302445139E-105</v>
      </c>
      <c r="G94" s="35" t="s">
        <v>543</v>
      </c>
      <c r="H94" s="0" t="n">
        <v>-1.17750622057175</v>
      </c>
      <c r="I94" s="0" t="n">
        <v>3.39930620060786E-057</v>
      </c>
      <c r="J94" s="0" t="n">
        <v>-2.16135712024462</v>
      </c>
      <c r="K94" s="40" t="n">
        <v>1.85969389823787E-060</v>
      </c>
    </row>
    <row r="95" customFormat="false" ht="13.8" hidden="false" customHeight="false" outlineLevel="0" collapsed="false">
      <c r="A95" s="35" t="s">
        <v>544</v>
      </c>
      <c r="B95" s="0" t="n">
        <v>0.447185293409849</v>
      </c>
      <c r="C95" s="0" t="n">
        <v>6.21906446127711E-031</v>
      </c>
      <c r="D95" s="0" t="n">
        <v>1.66338649890444</v>
      </c>
      <c r="E95" s="40" t="n">
        <v>9.6801878326761E-261</v>
      </c>
      <c r="G95" s="35" t="s">
        <v>545</v>
      </c>
      <c r="H95" s="0" t="n">
        <v>-0.321163871817879</v>
      </c>
      <c r="I95" s="0" t="n">
        <v>6.54322851425442E-046</v>
      </c>
      <c r="J95" s="0" t="n">
        <v>-2.12153632263731</v>
      </c>
      <c r="K95" s="40" t="n">
        <v>1.17249462862186E-013</v>
      </c>
    </row>
    <row r="96" customFormat="false" ht="13.8" hidden="false" customHeight="false" outlineLevel="0" collapsed="false">
      <c r="A96" s="35" t="s">
        <v>546</v>
      </c>
      <c r="B96" s="0" t="n">
        <v>0.771822348448859</v>
      </c>
      <c r="C96" s="0" t="n">
        <v>0</v>
      </c>
      <c r="D96" s="0" t="n">
        <v>1.6322287748746</v>
      </c>
      <c r="E96" s="40" t="n">
        <v>0</v>
      </c>
      <c r="G96" s="35" t="s">
        <v>298</v>
      </c>
      <c r="H96" s="0" t="n">
        <v>-1.02717538659109</v>
      </c>
      <c r="I96" s="0" t="n">
        <v>0</v>
      </c>
      <c r="J96" s="0" t="n">
        <v>-2.11868629563532</v>
      </c>
      <c r="K96" s="40" t="n">
        <v>0</v>
      </c>
    </row>
    <row r="97" customFormat="false" ht="13.8" hidden="false" customHeight="false" outlineLevel="0" collapsed="false">
      <c r="A97" s="35" t="s">
        <v>547</v>
      </c>
      <c r="B97" s="0" t="n">
        <v>1.7513650546647</v>
      </c>
      <c r="C97" s="0" t="n">
        <v>6.33215288390841E-017</v>
      </c>
      <c r="D97" s="0" t="n">
        <v>1.62889249228551</v>
      </c>
      <c r="E97" s="40" t="n">
        <v>3.85345709579847E-009</v>
      </c>
      <c r="G97" s="35" t="s">
        <v>548</v>
      </c>
      <c r="H97" s="0" t="n">
        <v>-0.932624776553958</v>
      </c>
      <c r="I97" s="0" t="n">
        <v>1.59520145055379E-049</v>
      </c>
      <c r="J97" s="0" t="n">
        <v>-2.10513401324053</v>
      </c>
      <c r="K97" s="40" t="n">
        <v>1.90950614968381E-017</v>
      </c>
    </row>
    <row r="98" customFormat="false" ht="13.8" hidden="false" customHeight="false" outlineLevel="0" collapsed="false">
      <c r="A98" s="35" t="s">
        <v>549</v>
      </c>
      <c r="B98" s="0" t="n">
        <v>0.491507045149508</v>
      </c>
      <c r="C98" s="0" t="n">
        <v>1.05367197787621E-023</v>
      </c>
      <c r="D98" s="0" t="n">
        <v>1.62680264085903</v>
      </c>
      <c r="E98" s="40" t="n">
        <v>0</v>
      </c>
      <c r="G98" s="35" t="s">
        <v>550</v>
      </c>
      <c r="H98" s="0" t="n">
        <v>-1.31199311924599</v>
      </c>
      <c r="I98" s="0" t="n">
        <v>2.39005970917423E-013</v>
      </c>
      <c r="J98" s="0" t="n">
        <v>-2.08534934719227</v>
      </c>
      <c r="K98" s="40" t="n">
        <v>3.07002323798332E-023</v>
      </c>
    </row>
    <row r="99" customFormat="false" ht="13.8" hidden="false" customHeight="false" outlineLevel="0" collapsed="false">
      <c r="A99" s="35" t="s">
        <v>551</v>
      </c>
      <c r="B99" s="0" t="n">
        <v>0.323245177151269</v>
      </c>
      <c r="C99" s="0" t="n">
        <v>8.07731180920005E-090</v>
      </c>
      <c r="D99" s="0" t="n">
        <v>1.60347495473535</v>
      </c>
      <c r="E99" s="40" t="n">
        <v>0</v>
      </c>
      <c r="G99" s="35" t="s">
        <v>552</v>
      </c>
      <c r="H99" s="0" t="n">
        <v>-0.387891631808031</v>
      </c>
      <c r="I99" s="0" t="n">
        <v>0.000376669429243433</v>
      </c>
      <c r="J99" s="0" t="n">
        <v>-2.07167908350829</v>
      </c>
      <c r="K99" s="40" t="n">
        <v>0</v>
      </c>
    </row>
    <row r="100" customFormat="false" ht="13.8" hidden="false" customHeight="false" outlineLevel="0" collapsed="false">
      <c r="A100" s="35" t="s">
        <v>553</v>
      </c>
      <c r="B100" s="0" t="n">
        <v>0.32848671883553</v>
      </c>
      <c r="C100" s="0" t="n">
        <v>1.4205708767962E-012</v>
      </c>
      <c r="D100" s="0" t="n">
        <v>1.59921054989943</v>
      </c>
      <c r="E100" s="40" t="n">
        <v>1.13248316407311E-142</v>
      </c>
      <c r="G100" s="35" t="s">
        <v>554</v>
      </c>
      <c r="H100" s="0" t="n">
        <v>-0.419038506831406</v>
      </c>
      <c r="I100" s="0" t="n">
        <v>6.05656716464966E-065</v>
      </c>
      <c r="J100" s="0" t="n">
        <v>-2.06497242903382</v>
      </c>
      <c r="K100" s="40" t="n">
        <v>8.33461410859793E-025</v>
      </c>
    </row>
    <row r="101" customFormat="false" ht="13.8" hidden="false" customHeight="false" outlineLevel="0" collapsed="false">
      <c r="A101" s="35" t="s">
        <v>555</v>
      </c>
      <c r="B101" s="0" t="n">
        <v>1.37511956783118</v>
      </c>
      <c r="C101" s="0" t="n">
        <v>6.3605759892937E-021</v>
      </c>
      <c r="D101" s="0" t="n">
        <v>1.57515638277002</v>
      </c>
      <c r="E101" s="40" t="n">
        <v>1.45557811774922E-005</v>
      </c>
      <c r="G101" s="35" t="s">
        <v>556</v>
      </c>
      <c r="H101" s="0" t="n">
        <v>-0.854367255681025</v>
      </c>
      <c r="I101" s="0" t="n">
        <v>8.65730371019335E-016</v>
      </c>
      <c r="J101" s="0" t="n">
        <v>-2.05449444054508</v>
      </c>
      <c r="K101" s="40" t="n">
        <v>3.72711405262944E-051</v>
      </c>
    </row>
    <row r="102" customFormat="false" ht="13.8" hidden="false" customHeight="false" outlineLevel="0" collapsed="false">
      <c r="A102" s="76" t="s">
        <v>557</v>
      </c>
      <c r="B102" s="293" t="n">
        <v>1.18831987615323</v>
      </c>
      <c r="C102" s="293" t="n">
        <v>1.12328189075675E-182</v>
      </c>
      <c r="D102" s="293" t="n">
        <v>1.56905831477426</v>
      </c>
      <c r="E102" s="294" t="n">
        <v>1.6448297905425E-157</v>
      </c>
      <c r="G102" s="76" t="s">
        <v>558</v>
      </c>
      <c r="H102" s="293" t="n">
        <v>-1.43781833136605</v>
      </c>
      <c r="I102" s="293" t="n">
        <v>6.36375212889717E-009</v>
      </c>
      <c r="J102" s="293" t="n">
        <v>-2.03972362102388</v>
      </c>
      <c r="K102" s="294" t="n">
        <v>2.52436567495332E-051</v>
      </c>
    </row>
  </sheetData>
  <mergeCells count="2">
    <mergeCell ref="A1:E1"/>
    <mergeCell ref="G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2023-08-23T08:57:50Z</dcterms:created>
  <dc:creator>Melissa Stouffer</dc:creator>
  <dc:description/>
  <dc:language>en-GB</dc:language>
  <cp:lastModifiedBy/>
  <dcterms:modified xsi:type="dcterms:W3CDTF">2026-03-18T13:31:02Z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