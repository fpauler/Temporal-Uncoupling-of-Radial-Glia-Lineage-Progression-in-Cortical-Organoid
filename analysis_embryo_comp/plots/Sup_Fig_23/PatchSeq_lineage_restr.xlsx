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eage restricted clon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<sst xmlns="http://schemas.openxmlformats.org/spreadsheetml/2006/main" count="64" uniqueCount="35">
  <si>
    <t xml:space="preserve">clone_type</t>
  </si>
  <si>
    <t xml:space="preserve">simple_type</t>
  </si>
  <si>
    <t xml:space="preserve">n</t>
  </si>
  <si>
    <t xml:space="preserve">total</t>
  </si>
  <si>
    <t xml:space="preserve">rel</t>
  </si>
  <si>
    <t xml:space="preserve">Confidence.Interval</t>
  </si>
  <si>
    <t xml:space="preserve">Lower.limit</t>
  </si>
  <si>
    <t xml:space="preserve">Upper.limit</t>
  </si>
  <si>
    <t xml:space="preserve">alpha</t>
  </si>
  <si>
    <t xml:space="preserve">N</t>
  </si>
  <si>
    <t xml:space="preserve">DL</t>
  </si>
  <si>
    <t xml:space="preserve">21</t>
  </si>
  <si>
    <t xml:space="preserve">0.285714285714286</t>
  </si>
  <si>
    <t xml:space="preserve">two.sided</t>
  </si>
  <si>
    <t xml:space="preserve">0.05</t>
  </si>
  <si>
    <t xml:space="preserve">ML</t>
  </si>
  <si>
    <t xml:space="preserve">0.714285714285714</t>
  </si>
  <si>
    <t xml:space="preserve">SN</t>
  </si>
  <si>
    <t xml:space="preserve">34</t>
  </si>
  <si>
    <t xml:space="preserve">0.323529411764706</t>
  </si>
  <si>
    <t xml:space="preserve">0.470588235294118</t>
  </si>
  <si>
    <t xml:space="preserve">UL</t>
  </si>
  <si>
    <t xml:space="preserve">0.205882352941176</t>
  </si>
  <si>
    <t xml:space="preserve">test</t>
  </si>
  <si>
    <t xml:space="preserve">Neurogenic = Asymmetric, D13</t>
  </si>
  <si>
    <t xml:space="preserve">other</t>
  </si>
  <si>
    <t xml:space="preserve">Test of Independence (Chi-Square)</t>
  </si>
  <si>
    <t xml:space="preserve">in vivo</t>
  </si>
  <si>
    <t xml:space="preserve">Alpha</t>
  </si>
  <si>
    <t xml:space="preserve">in vitro</t>
  </si>
  <si>
    <t xml:space="preserve">df</t>
  </si>
  <si>
    <t xml:space="preserve">P-value</t>
  </si>
  <si>
    <t xml:space="preserve">Test Statistic</t>
  </si>
  <si>
    <t xml:space="preserve">Critical Value</t>
  </si>
  <si>
    <t xml:space="preserve">small neurogenic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</si>
</sst>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5.18"/>
    <col collapsed="false" customWidth="true" hidden="false" outlineLevel="0" max="3" min="3" style="0" width="3.7"/>
    <col collapsed="false" customWidth="true" hidden="false" outlineLevel="0" max="4" min="4" style="0" width="5.7"/>
    <col collapsed="false" customWidth="true" hidden="false" outlineLevel="0" max="5" min="5" style="0" width="17.71"/>
    <col collapsed="false" customWidth="true" hidden="false" outlineLevel="0" max="6" min="6" style="0" width="19.71"/>
    <col collapsed="false" customWidth="true" hidden="false" outlineLevel="0" max="8" min="7" style="0" width="11.71"/>
    <col collapsed="false" customWidth="true" hidden="false" outlineLevel="0" max="9" min="9" style="0" width="5.7"/>
    <col collapsed="false" customWidth="true" hidden="false" outlineLevel="0" max="11" min="11" style="0" width="20.1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n">
        <v>6</v>
      </c>
      <c r="D2" s="0" t="s">
        <v>11</v>
      </c>
      <c r="E2" s="0" t="s">
        <v>12</v>
      </c>
      <c r="F2" s="0" t="s">
        <v>13</v>
      </c>
      <c r="G2" s="0" t="n">
        <v>0.112809403921941</v>
      </c>
      <c r="H2" s="0" t="n">
        <v>0.521751118247114</v>
      </c>
      <c r="I2" s="0" t="s">
        <v>14</v>
      </c>
    </row>
    <row r="3" customFormat="false" ht="15" hidden="false" customHeight="false" outlineLevel="0" collapsed="false">
      <c r="A3" s="0" t="s">
        <v>9</v>
      </c>
      <c r="B3" s="0" t="s">
        <v>15</v>
      </c>
      <c r="C3" s="0" t="n">
        <v>15</v>
      </c>
      <c r="D3" s="0" t="s">
        <v>11</v>
      </c>
      <c r="E3" s="0" t="s">
        <v>16</v>
      </c>
      <c r="F3" s="0" t="s">
        <v>13</v>
      </c>
      <c r="G3" s="0" t="n">
        <v>0.478248881752886</v>
      </c>
      <c r="H3" s="0" t="n">
        <v>0.887190596078059</v>
      </c>
      <c r="I3" s="0" t="s">
        <v>14</v>
      </c>
    </row>
    <row r="4" customFormat="false" ht="15" hidden="false" customHeight="false" outlineLevel="0" collapsed="false">
      <c r="A4" s="0" t="s">
        <v>17</v>
      </c>
      <c r="B4" s="0" t="s">
        <v>10</v>
      </c>
      <c r="C4" s="0" t="n">
        <v>11</v>
      </c>
      <c r="D4" s="0" t="s">
        <v>18</v>
      </c>
      <c r="E4" s="0" t="s">
        <v>19</v>
      </c>
      <c r="F4" s="0" t="s">
        <v>13</v>
      </c>
      <c r="G4" s="0" t="n">
        <v>0.173883427493921</v>
      </c>
      <c r="H4" s="0" t="n">
        <v>0.505265300898505</v>
      </c>
      <c r="I4" s="0" t="s">
        <v>14</v>
      </c>
    </row>
    <row r="5" customFormat="false" ht="15" hidden="false" customHeight="false" outlineLevel="0" collapsed="false">
      <c r="A5" s="0" t="s">
        <v>17</v>
      </c>
      <c r="B5" s="0" t="s">
        <v>15</v>
      </c>
      <c r="C5" s="0" t="n">
        <v>16</v>
      </c>
      <c r="D5" s="0" t="s">
        <v>18</v>
      </c>
      <c r="E5" s="0" t="s">
        <v>20</v>
      </c>
      <c r="F5" s="0" t="s">
        <v>13</v>
      </c>
      <c r="G5" s="0" t="n">
        <v>0.297786666418196</v>
      </c>
      <c r="H5" s="0" t="n">
        <v>0.648707162948588</v>
      </c>
      <c r="I5" s="0" t="s">
        <v>14</v>
      </c>
    </row>
    <row r="6" customFormat="false" ht="15" hidden="false" customHeight="false" outlineLevel="0" collapsed="false">
      <c r="A6" s="0" t="s">
        <v>17</v>
      </c>
      <c r="B6" s="0" t="s">
        <v>21</v>
      </c>
      <c r="C6" s="0" t="n">
        <v>7</v>
      </c>
      <c r="D6" s="0" t="s">
        <v>18</v>
      </c>
      <c r="E6" s="0" t="s">
        <v>22</v>
      </c>
      <c r="F6" s="0" t="s">
        <v>13</v>
      </c>
      <c r="G6" s="0" t="n">
        <v>0.0870213054581271</v>
      </c>
      <c r="H6" s="0" t="n">
        <v>0.378977748539683</v>
      </c>
      <c r="I6" s="0" t="s">
        <v>14</v>
      </c>
    </row>
    <row r="8" customFormat="false" ht="15" hidden="false" customHeight="false" outlineLevel="0" collapsed="false">
      <c r="A8" s="0" t="s">
        <v>23</v>
      </c>
    </row>
    <row r="9" customFormat="false" ht="15" hidden="false" customHeight="false" outlineLevel="0" collapsed="false">
      <c r="A9" s="0" t="s">
        <v>24</v>
      </c>
    </row>
    <row r="10" customFormat="false" ht="14.9" hidden="false" customHeight="false" outlineLevel="0" collapsed="false">
      <c r="B10" s="0" t="s">
        <v>21</v>
      </c>
      <c r="C10" s="0" t="s">
        <v>10</v>
      </c>
      <c r="D10" s="0" t="s">
        <v>25</v>
      </c>
      <c r="F10" s="1" t="s">
        <v>26</v>
      </c>
    </row>
    <row r="11" customFormat="false" ht="13.8" hidden="false" customHeight="false" outlineLevel="0" collapsed="false">
      <c r="A11" s="0" t="s">
        <v>27</v>
      </c>
      <c r="B11" s="0" t="n">
        <v>3</v>
      </c>
      <c r="C11" s="0" t="n">
        <v>7</v>
      </c>
      <c r="D11" s="0" t="n">
        <v>21</v>
      </c>
      <c r="F11" s="0" t="s">
        <v>28</v>
      </c>
      <c r="G11" s="0" t="n">
        <v>0.05</v>
      </c>
    </row>
    <row r="12" customFormat="false" ht="13.8" hidden="false" customHeight="false" outlineLevel="0" collapsed="false">
      <c r="A12" s="0" t="s">
        <v>29</v>
      </c>
      <c r="B12" s="0" t="n">
        <v>0</v>
      </c>
      <c r="C12" s="0" t="n">
        <v>6</v>
      </c>
      <c r="D12" s="0" t="n">
        <v>15</v>
      </c>
      <c r="F12" s="0" t="s">
        <v>30</v>
      </c>
      <c r="G12" s="0" t="n">
        <f aca="false">(COLUMNS('lineage restricted clones'!$B$11:$D$12) - 1) * (ROWS('lineage restricted clones'!$B$11:$D$12) - 1)</f>
        <v>2</v>
      </c>
    </row>
    <row r="13" customFormat="false" ht="13.8" hidden="false" customHeight="false" outlineLevel="0" collapsed="false">
      <c r="F13" s="0" t="s">
        <v>31</v>
      </c>
      <c r="G13" s="0" t="n">
        <f aca="false">CHITEST('lineage restricted clones'!$B$11:$D$12, MMULT(MMULT('lineage restricted clones'!$B$11:$D$12,TRANSPOSE(IF(COLUMN('lineage restricted clones'!$B$11:$D$12),TRUE()))),MMULT(TRANSPOSE(IF(ROW('lineage restricted clones'!$B$11:$D$12),TRUE())),'lineage restricted clones'!$B$11:$D$12)) / SUM('lineage restricted clones'!$B$11:$D$12))</f>
        <v>0.326841619356702</v>
      </c>
    </row>
    <row r="14" customFormat="false" ht="13.8" hidden="false" customHeight="false" outlineLevel="0" collapsed="false">
      <c r="F14" s="0" t="s">
        <v>32</v>
      </c>
      <c r="G14" s="0" t="n">
        <f aca="false">CHIINV('lineage restricted clones'!$G$13, 'lineage restricted clones'!$G$12)</f>
        <v>2.23655913978495</v>
      </c>
    </row>
    <row r="15" customFormat="false" ht="13.8" hidden="false" customHeight="false" outlineLevel="0" collapsed="false">
      <c r="F15" s="0" t="s">
        <v>33</v>
      </c>
      <c r="G15" s="0" t="n">
        <f aca="false">CHIINV('lineage restricted clones'!$G$11, 'lineage restricted clones'!$G$12)</f>
        <v>5.99146454710798</v>
      </c>
    </row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>
      <c r="A18" s="0" t="s">
        <v>34</v>
      </c>
    </row>
    <row r="19" customFormat="false" ht="13.8" hidden="false" customHeight="false" outlineLevel="0" collapsed="false">
      <c r="B19" s="0" t="s">
        <v>21</v>
      </c>
      <c r="C19" s="0" t="s">
        <v>10</v>
      </c>
      <c r="D19" s="0" t="s">
        <v>25</v>
      </c>
    </row>
    <row r="20" customFormat="false" ht="15" hidden="false" customHeight="false" outlineLevel="0" collapsed="false">
      <c r="A20" s="2" t="s">
        <v>27</v>
      </c>
      <c r="B20" s="0" t="n">
        <v>2</v>
      </c>
      <c r="C20" s="0" t="n">
        <v>7</v>
      </c>
      <c r="D20" s="0" t="n">
        <v>14</v>
      </c>
      <c r="F20" s="1" t="s">
        <v>26</v>
      </c>
    </row>
    <row r="21" customFormat="false" ht="13.8" hidden="false" customHeight="false" outlineLevel="0" collapsed="false">
      <c r="A21" s="0" t="s">
        <v>29</v>
      </c>
      <c r="B21" s="0" t="n">
        <v>7</v>
      </c>
      <c r="C21" s="0" t="n">
        <v>11</v>
      </c>
      <c r="D21" s="0" t="n">
        <v>16</v>
      </c>
      <c r="F21" s="0" t="s">
        <v>28</v>
      </c>
      <c r="G21" s="0" t="n">
        <v>0.05</v>
      </c>
    </row>
    <row r="22" customFormat="false" ht="15" hidden="false" customHeight="false" outlineLevel="0" collapsed="false">
      <c r="F22" s="0" t="s">
        <v>30</v>
      </c>
      <c r="G22" s="0" t="n">
        <f aca="false">(COLUMNS('lineage restricted clones'!$B$20:$D$21) - 1) * (ROWS('lineage restricted clones'!$B$20:$D$21) - 1)</f>
        <v>2</v>
      </c>
    </row>
    <row r="23" customFormat="false" ht="15" hidden="false" customHeight="false" outlineLevel="0" collapsed="false">
      <c r="F23" s="0" t="s">
        <v>31</v>
      </c>
      <c r="G23" s="0" t="n">
        <f aca="false">CHITEST('lineage restricted clones'!$B$20:$D$21, MMULT(MMULT('lineage restricted clones'!$B$20:$D$21,TRANSPOSE(IF(COLUMN('lineage restricted clones'!$B$20:$D$21),TRUE()))),MMULT(TRANSPOSE(IF(ROW('lineage restricted clones'!$B$20:$D$21),TRUE())),'lineage restricted clones'!$B$20:$D$21)) / SUM('lineage restricted clones'!$B$20:$D$21))</f>
        <v>0.418517821543233</v>
      </c>
    </row>
    <row r="24" customFormat="false" ht="15" hidden="false" customHeight="false" outlineLevel="0" collapsed="false">
      <c r="F24" s="0" t="s">
        <v>32</v>
      </c>
      <c r="G24" s="0" t="n">
        <f aca="false">CHIINV('lineage restricted clones'!$G$23, 'lineage restricted clones'!$G$22)</f>
        <v>1.7420716112532</v>
      </c>
    </row>
    <row r="25" customFormat="false" ht="15" hidden="false" customHeight="false" outlineLevel="0" collapsed="false">
      <c r="F25" s="0" t="s">
        <v>33</v>
      </c>
      <c r="G25" s="0" t="n">
        <f aca="false">CHIINV('lineage restricted clones'!$G$21, 'lineage restricted clones'!$G$22)</f>
        <v>5.99146454710798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2026-02-20T16:40:38Z</dcterms:created>
  <dc:creator>fpauler</dc:creator>
  <dc:description/>
  <dc:language>en-GB</dc:language>
  <cp:lastModifiedBy/>
  <dcterms:modified xsi:type="dcterms:W3CDTF">2026-02-22T20:34:05Z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